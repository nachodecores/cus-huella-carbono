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4"/>
    <sheet state="visible" name="Suelo" sheetId="2" r:id="rId5"/>
    <sheet state="visible" name="Cambio de uso de suelo" sheetId="3" r:id="rId6"/>
    <sheet state="visible" name="Laboreo" sheetId="4" r:id="rId7"/>
    <sheet state="visible" name="Agroquimicos" sheetId="5" r:id="rId8"/>
    <sheet state="visible" name="Secado y almacenamiento" sheetId="6" r:id="rId9"/>
    <sheet state="visible" name="Empaque" sheetId="7" r:id="rId10"/>
  </sheets>
  <definedNames/>
  <calcPr/>
  <extLst>
    <ext uri="GoogleSheetsCustomDataVersion2">
      <go:sheetsCustomData xmlns:go="http://customooxmlschemas.google.com/" r:id="rId11" roundtripDataChecksum="bRMSqrlYwpQdyk49jtgqYe2y9u2Xsli0SkYHcabWfFE="/>
    </ext>
  </extLst>
</workbook>
</file>

<file path=xl/sharedStrings.xml><?xml version="1.0" encoding="utf-8"?>
<sst xmlns="http://schemas.openxmlformats.org/spreadsheetml/2006/main" count="379" uniqueCount="243">
  <si>
    <t>Categoría</t>
  </si>
  <si>
    <t>Ítem</t>
  </si>
  <si>
    <t>Unidad actividad</t>
  </si>
  <si>
    <t>Factor promedio</t>
  </si>
  <si>
    <t>Orden cálculo</t>
  </si>
  <si>
    <t>Fuente bibliográfica</t>
  </si>
  <si>
    <t>Manejo</t>
  </si>
  <si>
    <t>Web</t>
  </si>
  <si>
    <t>Uso del suelo que sustituye al campo natural</t>
  </si>
  <si>
    <t>Combustible</t>
  </si>
  <si>
    <t>Área laboreada (ha)</t>
  </si>
  <si>
    <t>Subcategoría</t>
  </si>
  <si>
    <t>SOCref 
(ton C/ha)</t>
  </si>
  <si>
    <t>Nombre para la plataforma</t>
  </si>
  <si>
    <t>Área (ha)</t>
  </si>
  <si>
    <t>Gasoil combustión</t>
  </si>
  <si>
    <t>Factor uso del suelo (FLU)</t>
  </si>
  <si>
    <t>Qué hace</t>
  </si>
  <si>
    <t>litro</t>
  </si>
  <si>
    <t>SOCref (t C/ha)</t>
  </si>
  <si>
    <t>2,68 kg CO₂e/L</t>
  </si>
  <si>
    <t>Fórmula de cálculo</t>
  </si>
  <si>
    <t>Factor gestión del suelo (FMG)</t>
  </si>
  <si>
    <t>FLU (uso suelo)</t>
  </si>
  <si>
    <t>IPCC (2006). 2006 IPCC Guidelines for National Greenhouse Gas Inventories, Vol.2 Energy.</t>
  </si>
  <si>
    <t>Unidad resultado</t>
  </si>
  <si>
    <t>FMG (manejo)</t>
  </si>
  <si>
    <r>
      <rPr>
        <rFont val="Calibri"/>
        <b/>
        <color theme="1"/>
        <sz val="11.0"/>
      </rPr>
      <t xml:space="preserve">Factor </t>
    </r>
    <r>
      <rPr>
        <rFont val="Arial"/>
        <b/>
        <i/>
        <color theme="1"/>
        <sz val="10.0"/>
      </rPr>
      <t>inputs</t>
    </r>
    <r>
      <rPr>
        <rFont val="Arial"/>
        <b/>
        <color theme="1"/>
        <sz val="10.0"/>
      </rPr>
      <t xml:space="preserve"> (FI)</t>
    </r>
  </si>
  <si>
    <t>https://www.ipcc-nggip.iges.or.jp/public/2006gl/vol2.html</t>
  </si>
  <si>
    <t>Valor fijo</t>
  </si>
  <si>
    <t>FI (inputs)</t>
  </si>
  <si>
    <t>Electricidad</t>
  </si>
  <si>
    <t>Pérdida total C 
(ton)</t>
  </si>
  <si>
    <t>Pérdida total C (t)</t>
  </si>
  <si>
    <t>Red eléctrica Uruguay</t>
  </si>
  <si>
    <t>Emisiones totales (tCO2e)</t>
  </si>
  <si>
    <t>kWh</t>
  </si>
  <si>
    <t>Emisiones (tCO₂e)</t>
  </si>
  <si>
    <t>0,03 kg CO₂e/kWh (promedio reciente)</t>
  </si>
  <si>
    <t>Referencia bibliográfica</t>
  </si>
  <si>
    <t>Referencia de parámetros</t>
  </si>
  <si>
    <t>MIEM – Dirección Nacional de Energía. Balance Energético Nacional</t>
  </si>
  <si>
    <t>Método</t>
  </si>
  <si>
    <t>https://catalogodatos.gub.uy/dataset/miem-ben-factor-de-emision-de-co2-del-sin</t>
  </si>
  <si>
    <t>Input</t>
  </si>
  <si>
    <t>Praderas</t>
  </si>
  <si>
    <t>Transporte</t>
  </si>
  <si>
    <t>Semillero realizado con laboreo</t>
  </si>
  <si>
    <t>Emisiones del suelo (N₂O)</t>
  </si>
  <si>
    <t>Camión carga carretera promedio</t>
  </si>
  <si>
    <t>Dato de entrada</t>
  </si>
  <si>
    <t>ton-km</t>
  </si>
  <si>
    <t>N aplicado total</t>
  </si>
  <si>
    <t>0,09 kg CO₂e/ton-km</t>
  </si>
  <si>
    <t>N total aplicado al cultivo</t>
  </si>
  <si>
    <t>dato ingresado por usuario</t>
  </si>
  <si>
    <r>
      <rPr>
        <rFont val="Calibri"/>
        <color theme="1"/>
        <sz val="11.0"/>
      </rPr>
      <t xml:space="preserve">UK Government (DEFRA). </t>
    </r>
    <r>
      <rPr>
        <rFont val="Calibri"/>
        <i/>
        <color theme="1"/>
        <sz val="11.0"/>
      </rPr>
      <t>Greenhouse Gas Reporting: Conversion Factors for Company Reporting</t>
    </r>
    <r>
      <rPr>
        <rFont val="Calibri"/>
        <color theme="1"/>
        <sz val="11.0"/>
      </rPr>
      <t>.</t>
    </r>
  </si>
  <si>
    <t>kg N</t>
  </si>
  <si>
    <t>https://www.gov.uk/government/publications/greenhouse-gas-reporting-conversion-factors-2023</t>
  </si>
  <si>
    <t>—</t>
  </si>
  <si>
    <t>IPCC (2019) AFOLU metodología de emisiones de suelo</t>
  </si>
  <si>
    <t>https://www.ipcc-nggip.iges.or.jp/public/2019rf/vol4.html</t>
  </si>
  <si>
    <t>Conversión</t>
  </si>
  <si>
    <t>Potencial calentamiento global N₂O (GWP100)</t>
  </si>
  <si>
    <t>kg CO₂e/kg N₂O</t>
  </si>
  <si>
    <t>Directa</t>
  </si>
  <si>
    <t>Emisiones directas de N₂O del suelo</t>
  </si>
  <si>
    <t>Calcula N₂O-N emitido directamente desde el suelo</t>
  </si>
  <si>
    <t>IPCC (2021). Sixth Assessment Report – AR6.</t>
  </si>
  <si>
    <t>N_aplicado × 0,01</t>
  </si>
  <si>
    <t>https://www.ipcc.ch/report/ar6/wg1/</t>
  </si>
  <si>
    <t>kg N₂O-N</t>
  </si>
  <si>
    <t>Semilla base</t>
  </si>
  <si>
    <t>EF1 = 0,01</t>
  </si>
  <si>
    <t>Producción semilla agrícola</t>
  </si>
  <si>
    <t>IPCC (2019) Refinement to the 2006 IPCC Guidelines, Vol.4 AFOLU Cap.11 Tabla 11.1</t>
  </si>
  <si>
    <t>IPCC (2019) Refinement to the 2006 IPCC Guidelines, Vol.4 AFOLU, Tabla 2.3 y 6.2</t>
  </si>
  <si>
    <t>kg</t>
  </si>
  <si>
    <t>https://www.ipcc-nggip.iges.or.jp/public/2019rf/pdf/4_Volume4/19R_V4_Ch11_Soils_N2O_CO2.pdf</t>
  </si>
  <si>
    <t>IPCC 2019 Refinement, ecuación 2.25</t>
  </si>
  <si>
    <t>0,7 kg CO₂e/kg (valor medio)</t>
  </si>
  <si>
    <t>Agricultura</t>
  </si>
  <si>
    <t>Indirecta – volatilización</t>
  </si>
  <si>
    <t>N volatilizado</t>
  </si>
  <si>
    <t>Poore &amp; Nemecek (2018) – global food LCA database</t>
  </si>
  <si>
    <t>Calcula el N que se volatiliza como NH₃ y NOx</t>
  </si>
  <si>
    <t>https://www.science.org/doi/10.1126/science.aaq0216</t>
  </si>
  <si>
    <t>N_aplicado × 0,11</t>
  </si>
  <si>
    <t>FracGASF = 0,11</t>
  </si>
  <si>
    <t>IPCC (2019) Refinement AFOLU Cap.11 Tabla 11.3</t>
  </si>
  <si>
    <t>Emisiones indirectas de N₂O por volatilización</t>
  </si>
  <si>
    <t>Calcula el N₂O-N generado tras la deposición del N volatilizado</t>
  </si>
  <si>
    <t>N_volatilizado × 0,01</t>
  </si>
  <si>
    <t>EF4 = 0,01</t>
  </si>
  <si>
    <t>Indirecta – lixiviación</t>
  </si>
  <si>
    <t>Intergovernmental Panel on Climate Change (IPCC). 2019. 2019 Refinement to the 2006 IPCC Guidelines for National Greenhouse Gas Inventories, Vol. 4: AFOLU. Cap. 2 (tabla 2.3; ecuación 2.25), Cap. 5 (tabla 5.5) y Cap. 6 (tabla 6.2). Factores SOCref, FLU, FMG y FI para estimación de carbono orgánico del suelo y metodologías de cálculo para tierras agrícolas y pastizales.</t>
  </si>
  <si>
    <t>N lixiviado</t>
  </si>
  <si>
    <t>Calcula el N que se pierde por lixiviación o escorrentía</t>
  </si>
  <si>
    <t>N_aplicado × 0,24</t>
  </si>
  <si>
    <t>Semillero realizado con siembra directa (default)</t>
  </si>
  <si>
    <t>FracLEACH = 0,24</t>
  </si>
  <si>
    <t>Emisiones indirectas de N₂O por lixiviación</t>
  </si>
  <si>
    <t>Calcula el N₂O-N generado por el N lixiviado</t>
  </si>
  <si>
    <t>N_lixiviado × 0,011</t>
  </si>
  <si>
    <t>EF5 = 0,011</t>
  </si>
  <si>
    <t>Comentario: la emisión de CO₂ por pérdida de carbono del suelo (amortizada a 20 años, criterio default del IPCC) sí se suma al total de kg CO₂e/kg semilla y kg CO₂e/ha dentro del componente "manejo del suelo", pero además debe presentarse desagregada como línea biogénica separada en las tablas de desglose por fuente.</t>
  </si>
  <si>
    <t>Total N₂O-N</t>
  </si>
  <si>
    <t>Total N₂O-N del suelo</t>
  </si>
  <si>
    <t>Suma emisiones directas e indirectas</t>
  </si>
  <si>
    <t>N2O_N_directo + N2O_N_volatilizacion + N2O_N_lixiviacion</t>
  </si>
  <si>
    <t>IPCC AFOLU metodología cálculo emisiones suelo</t>
  </si>
  <si>
    <t>Conversión de N₂O-N a N₂O</t>
  </si>
  <si>
    <t>Convierte N₂O-N a N₂O</t>
  </si>
  <si>
    <t>N2O_N_total × 1,571</t>
  </si>
  <si>
    <t>kg N₂O</t>
  </si>
  <si>
    <t>IPCC AFOLU metodología</t>
  </si>
  <si>
    <t>Emisiones totales del suelo en CO₂e</t>
  </si>
  <si>
    <t>Convierte N₂O a CO₂ equivalente</t>
  </si>
  <si>
    <t>N2O_total × 273</t>
  </si>
  <si>
    <t>kg CO₂e</t>
  </si>
  <si>
    <t>GWP100 N₂O = 273</t>
  </si>
  <si>
    <t>IPCC (2021) Sixth Assessment Report</t>
  </si>
  <si>
    <t xml:space="preserve">Factor de emisión </t>
  </si>
  <si>
    <t>Fertilizantes</t>
  </si>
  <si>
    <t>Urea</t>
  </si>
  <si>
    <t>kg producto</t>
  </si>
  <si>
    <t>0,79 kg CO2e/kg</t>
  </si>
  <si>
    <t>Becoña et al., 2020 (citado en INIA, 2022)</t>
  </si>
  <si>
    <t>http://agrocienciauruguay.uy/ojs/index.php/agrociencia/article/view/48</t>
  </si>
  <si>
    <t>Secado semillas</t>
  </si>
  <si>
    <t>Gas licuado de petróleo (GLP)</t>
  </si>
  <si>
    <t>1,51 kg CO₂e/L</t>
  </si>
  <si>
    <t>IPCC (2006). 2006 Guidelines for National Greenhouse Gas Inventories – Vol.2 Energy</t>
  </si>
  <si>
    <t>Gasoil / diésel</t>
  </si>
  <si>
    <t>DAP (fosfato diamónico)</t>
  </si>
  <si>
    <t>Gas natural</t>
  </si>
  <si>
    <t>m³</t>
  </si>
  <si>
    <t>2,02 kg CO₂e/m³</t>
  </si>
  <si>
    <t>IPCC (2006). 2006 Guidelines for National GHG Inventories – stationary combustion</t>
  </si>
  <si>
    <t>https://www.ipcc-nggip.iges.or.jp/public/2006gl/</t>
  </si>
  <si>
    <t>MAP (fosfato monoamónico)</t>
  </si>
  <si>
    <t>Biomasa (chips madera o cáscara arroz)</t>
  </si>
  <si>
    <t>0,05 kg CO2e/kg</t>
  </si>
  <si>
    <t>kg biomasa</t>
  </si>
  <si>
    <t>≈0 kg CO₂e (biogénico)</t>
  </si>
  <si>
    <t>IPCC (2006) – emisiones biogénicas reportadas separadamente</t>
  </si>
  <si>
    <t>Electricidad (ventilación y manejo grano)</t>
  </si>
  <si>
    <t>0,03 kg CO₂e/kWh</t>
  </si>
  <si>
    <t>Superfosfato simple</t>
  </si>
  <si>
    <t>MIEM (Uruguay). Balance Energético Nacional</t>
  </si>
  <si>
    <t>https://ben.miem.gub.uy</t>
  </si>
  <si>
    <t>Energía térmica promedio secado grano</t>
  </si>
  <si>
    <t>0,37 kg CO2e/kg</t>
  </si>
  <si>
    <t>kg agua evaporada</t>
  </si>
  <si>
    <t>0,6 kg CO₂e/kg agua</t>
  </si>
  <si>
    <t>FAO (2019). Energy Use in Grain Drying</t>
  </si>
  <si>
    <t>Tipo de envase</t>
  </si>
  <si>
    <t>https://www.fao.org</t>
  </si>
  <si>
    <t>Almacenamiento</t>
  </si>
  <si>
    <t>Electricidad almacenamiento en silo (ventilación, aireación, manejo)</t>
  </si>
  <si>
    <t>Material</t>
  </si>
  <si>
    <t>t·mes</t>
  </si>
  <si>
    <t>Superfosfato triple</t>
  </si>
  <si>
    <t>2 kg CO₂e/t·mes</t>
  </si>
  <si>
    <t>Capacidad del envase</t>
  </si>
  <si>
    <t>Peso del envase (kg)</t>
  </si>
  <si>
    <r>
      <rPr>
        <rFont val="Calibri"/>
        <color theme="1"/>
        <sz val="11.0"/>
      </rPr>
      <t xml:space="preserve">Brooker, Bakker-Arkema &amp; Hall (1992). </t>
    </r>
    <r>
      <rPr>
        <rFont val="Calibri"/>
        <i/>
        <color theme="1"/>
        <sz val="11.0"/>
      </rPr>
      <t>Drying and Storage of Grains and Oilseeds</t>
    </r>
    <r>
      <rPr>
        <rFont val="Calibri"/>
        <color theme="1"/>
        <sz val="11.0"/>
      </rPr>
      <t xml:space="preserve">. AVI Publishing; FAO (2011) </t>
    </r>
    <r>
      <rPr>
        <rFont val="Calibri"/>
        <i/>
        <color theme="1"/>
        <sz val="11.0"/>
      </rPr>
      <t>Grain Storage Techniques</t>
    </r>
    <r>
      <rPr>
        <rFont val="Calibri"/>
        <color theme="1"/>
        <sz val="11.0"/>
      </rPr>
      <t>.</t>
    </r>
  </si>
  <si>
    <t>0,52 kg CO2e/kg (promedio Europa)</t>
  </si>
  <si>
    <t>Factor emisión material (kg CO₂e/kg)</t>
  </si>
  <si>
    <t>https://www.fao.org/3/x5048e/x5048e00.htm</t>
  </si>
  <si>
    <t>Wood, S. &amp; Cowie, A. (2004). A Review of GHG Emission Factors for Fertiliser Production. IEA Bioenergy Task 38.</t>
  </si>
  <si>
    <t>Emisión por envase (kg CO₂e/unidad)</t>
  </si>
  <si>
    <t>https://www.sciencetheearth.com/uploads/2/4/6/5/24658156/2004_wood_a_review_of_greenhouse_gas_emission_factors.pdf</t>
  </si>
  <si>
    <t>Bolsa tejida PP</t>
  </si>
  <si>
    <t>Polipropileno</t>
  </si>
  <si>
    <t>25 kg</t>
  </si>
  <si>
    <t>PlasticsEurope Eco-profiles</t>
  </si>
  <si>
    <t>https://plasticseurope.org/sustainability/ecoprofiles</t>
  </si>
  <si>
    <t>Cloruro de potasio</t>
  </si>
  <si>
    <t>50 kg</t>
  </si>
  <si>
    <t>≈0,15 kg CO2e/kg producto (calculado desde 0,25 kg CO2e/kg K2O, asumiendo grado comercial ~60% K2O)</t>
  </si>
  <si>
    <t>Brentrup et al. (2018), vía 4C Services - List of Emission Factors</t>
  </si>
  <si>
    <t>https://www.4c-services.org/wp-content/uploads/2025/10/4C-List-of-Emission-Factors-1.pdf</t>
  </si>
  <si>
    <t>Bolsa PP laminada exportación</t>
  </si>
  <si>
    <t>PP laminado</t>
  </si>
  <si>
    <t>Ecoinvent LCA database</t>
  </si>
  <si>
    <t>https://ecoinvent.org</t>
  </si>
  <si>
    <t>Sulfato de amonio</t>
  </si>
  <si>
    <t>0,65 kg CO2e/kg (valor regional Sudeste Asiático, 21% N)</t>
  </si>
  <si>
    <t>Nitrato de amonio</t>
  </si>
  <si>
    <t>Big Bag (FIBC)</t>
  </si>
  <si>
    <t>PP tejido reforzado</t>
  </si>
  <si>
    <t>2,37 kg CO2e/kg (promedio Europa; rango 2,28-2,46)</t>
  </si>
  <si>
    <t>1000 kg</t>
  </si>
  <si>
    <t>PlasticsEurope / Ecoinvent</t>
  </si>
  <si>
    <t>https://plasticseurope.org</t>
  </si>
  <si>
    <t>Mezcla NPK (fórmula comercial)</t>
  </si>
  <si>
    <t>Bolsa papel multicapa</t>
  </si>
  <si>
    <t>Papel kraft</t>
  </si>
  <si>
    <t>Fertilizante líquido (UAN, referencia)</t>
  </si>
  <si>
    <t>1,50 kg CO2e/kg (promedio Europa; rango 1,17-1,84 según tecnología)</t>
  </si>
  <si>
    <t>CEPI LCA Paper</t>
  </si>
  <si>
    <t>Cal agrícola / enmienda calcárea</t>
  </si>
  <si>
    <t>kg aplicado</t>
  </si>
  <si>
    <t>https://www.cepi.org</t>
  </si>
  <si>
    <t>Caliza (CaCO3): 0,44 kg CO2/kg | Dolomita: 0,48 kg CO2/kg (emisión directa por reacción en el suelo, no de manufactura)</t>
  </si>
  <si>
    <t>Film stretch pallet</t>
  </si>
  <si>
    <t>IPCC (2006), Vol. 4, Cap. 11 - N2O and CO2 emissions from lime and urea application</t>
  </si>
  <si>
    <t>https://www.ipcc-nggip.iges.or.jp/public/2006gl/pdf/4_Volume4/V4_11_Ch11_N2O%26CO2.pdf</t>
  </si>
  <si>
    <t>PE</t>
  </si>
  <si>
    <t>pallet</t>
  </si>
  <si>
    <t>PlasticsEurope</t>
  </si>
  <si>
    <t>Pallet madera</t>
  </si>
  <si>
    <t>Bio-fertilizante</t>
  </si>
  <si>
    <t>madera</t>
  </si>
  <si>
    <t>-</t>
  </si>
  <si>
    <t>Agroquímicos</t>
  </si>
  <si>
    <t>Fungicidas (producción promedio)</t>
  </si>
  <si>
    <t>Ecoinvent</t>
  </si>
  <si>
    <t>5 – 7 kg CO₂e/kg (promedio usado: 6)</t>
  </si>
  <si>
    <t>Agri-footprint LCA database (Blonk Consultants) – pesticide production datasets</t>
  </si>
  <si>
    <t>https://simapro.com/wp-content/uploads/2020/10/Agri-Footprint-5.0-Part-2-Description-of-data.pdf</t>
  </si>
  <si>
    <t>Herbicidas (producción promedio)</t>
  </si>
  <si>
    <t>7 – 9 kg CO₂e/kg (promedio usado: 8)</t>
  </si>
  <si>
    <t>ecoinvent LCA database – pesticide production datasets</t>
  </si>
  <si>
    <t>https://ecoinvent.org/database/</t>
  </si>
  <si>
    <t>Herbicida</t>
  </si>
  <si>
    <t>2-4D amina</t>
  </si>
  <si>
    <t>lt producto</t>
  </si>
  <si>
    <t>2,94 kg CO2e/lt</t>
  </si>
  <si>
    <t>Atrazina</t>
  </si>
  <si>
    <t>6,49 kg CO2e/lt</t>
  </si>
  <si>
    <t>Insecticida</t>
  </si>
  <si>
    <t>Cipermetrina</t>
  </si>
  <si>
    <t>10,00 kg CO2e/lt</t>
  </si>
  <si>
    <t>Dual</t>
  </si>
  <si>
    <t>18,26 kg CO2e/lt</t>
  </si>
  <si>
    <t>Glifosato</t>
  </si>
  <si>
    <t>11,27 kg CO2e/lt</t>
  </si>
  <si>
    <t>Flumetsulam</t>
  </si>
  <si>
    <t>18,25 kg CO2e/lt</t>
  </si>
  <si>
    <t>Lorsban</t>
  </si>
  <si>
    <t>14,79 kg CO2e/lt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</si>
</sst>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"/>
      <name val="Calibri"/>
    </font>
    <font>
      <color theme="1"/>
      <name val="Calibri"/>
      <scheme val="minor"/>
    </font>
    <font>
      <u/>
      <color rgb="FF0000FF"/>
      <name val="Arial"/>
    </font>
    <font>
      <i/>
      <color rgb="FF999999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1" numFmtId="0" xfId="0" applyAlignment="1" applyBorder="1" applyFont="1">
      <alignment horizontal="left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/>
    </xf>
    <xf borderId="1" fillId="0" fontId="3" numFmtId="0" xfId="0" applyBorder="1" applyFont="1"/>
    <xf borderId="1" fillId="0" fontId="2" numFmtId="0" xfId="0" applyAlignment="1" applyBorder="1" applyFont="1">
      <alignment horizontal="right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/>
    </xf>
    <xf borderId="1" fillId="0" fontId="1" numFmtId="0" xfId="0" applyAlignment="1" applyBorder="1" applyFont="1">
      <alignment readingOrder="0"/>
    </xf>
    <xf borderId="1" fillId="2" fontId="1" numFmtId="0" xfId="0" applyBorder="1" applyFill="1" applyFont="1"/>
    <xf borderId="0" fillId="0" fontId="5" numFmtId="0" xfId="0" applyAlignment="1" applyFont="1">
      <alignment readingOrder="0" vertical="top"/>
    </xf>
    <xf borderId="0" fillId="0" fontId="6" numFmtId="0" xfId="0" applyAlignment="1" applyFont="1">
      <alignment readingOrder="0" vertical="top"/>
    </xf>
    <xf borderId="1" fillId="3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uk/government/publications/greenhouse-gas-reporting-conversion-factors-2023" TargetMode="External"/><Relationship Id="rId2" Type="http://schemas.openxmlformats.org/officeDocument/2006/relationships/hyperlink" Target="https://www.science.org/doi/10.1126/science.aaq0216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pcc-nggip.iges.or.jp/public/2006gl/pdf/4_Volume4/V4_11_Ch11_N2O%26CO2.pdf" TargetMode="External"/><Relationship Id="rId10" Type="http://schemas.openxmlformats.org/officeDocument/2006/relationships/hyperlink" Target="https://www.sciencetheearth.com/uploads/2/4/6/5/24658156/2004_wood_a_review_of_greenhouse_gas_emission_factors.pdf" TargetMode="External"/><Relationship Id="rId13" Type="http://schemas.openxmlformats.org/officeDocument/2006/relationships/hyperlink" Target="http://agrocienciauruguay.uy/ojs/index.php/agrociencia/article/view/48" TargetMode="External"/><Relationship Id="rId12" Type="http://schemas.openxmlformats.org/officeDocument/2006/relationships/hyperlink" Target="http://agrocienciauruguay.uy/ojs/index.php/agrociencia/article/view/48" TargetMode="External"/><Relationship Id="rId1" Type="http://schemas.openxmlformats.org/officeDocument/2006/relationships/hyperlink" Target="http://agrocienciauruguay.uy/ojs/index.php/agrociencia/article/view/48" TargetMode="External"/><Relationship Id="rId2" Type="http://schemas.openxmlformats.org/officeDocument/2006/relationships/hyperlink" Target="http://agrocienciauruguay.uy/ojs/index.php/agrociencia/article/view/48" TargetMode="External"/><Relationship Id="rId3" Type="http://schemas.openxmlformats.org/officeDocument/2006/relationships/hyperlink" Target="http://agrocienciauruguay.uy/ojs/index.php/agrociencia/article/view/48" TargetMode="External"/><Relationship Id="rId4" Type="http://schemas.openxmlformats.org/officeDocument/2006/relationships/hyperlink" Target="http://agrocienciauruguay.uy/ojs/index.php/agrociencia/article/view/48" TargetMode="External"/><Relationship Id="rId9" Type="http://schemas.openxmlformats.org/officeDocument/2006/relationships/hyperlink" Target="http://agrocienciauruguay.uy/ojs/index.php/agrociencia/article/view/48" TargetMode="External"/><Relationship Id="rId15" Type="http://schemas.openxmlformats.org/officeDocument/2006/relationships/hyperlink" Target="http://agrocienciauruguay.uy/ojs/index.php/agrociencia/article/view/48" TargetMode="External"/><Relationship Id="rId14" Type="http://schemas.openxmlformats.org/officeDocument/2006/relationships/hyperlink" Target="http://agrocienciauruguay.uy/ojs/index.php/agrociencia/article/view/48" TargetMode="External"/><Relationship Id="rId17" Type="http://schemas.openxmlformats.org/officeDocument/2006/relationships/hyperlink" Target="http://agrocienciauruguay.uy/ojs/index.php/agrociencia/article/view/48" TargetMode="External"/><Relationship Id="rId16" Type="http://schemas.openxmlformats.org/officeDocument/2006/relationships/hyperlink" Target="http://agrocienciauruguay.uy/ojs/index.php/agrociencia/article/view/48" TargetMode="External"/><Relationship Id="rId5" Type="http://schemas.openxmlformats.org/officeDocument/2006/relationships/hyperlink" Target="https://www.sciencetheearth.com/uploads/2/4/6/5/24658156/2004_wood_a_review_of_greenhouse_gas_emission_factors.pdf" TargetMode="External"/><Relationship Id="rId19" Type="http://schemas.openxmlformats.org/officeDocument/2006/relationships/drawing" Target="../drawings/drawing5.xml"/><Relationship Id="rId6" Type="http://schemas.openxmlformats.org/officeDocument/2006/relationships/hyperlink" Target="https://www.4c-services.org/wp-content/uploads/2025/10/4C-List-of-Emission-Factors-1.pdf" TargetMode="External"/><Relationship Id="rId18" Type="http://schemas.openxmlformats.org/officeDocument/2006/relationships/hyperlink" Target="http://agrocienciauruguay.uy/ojs/index.php/agrociencia/article/view/48" TargetMode="External"/><Relationship Id="rId7" Type="http://schemas.openxmlformats.org/officeDocument/2006/relationships/hyperlink" Target="https://www.4c-services.org/wp-content/uploads/2025/10/4C-List-of-Emission-Factors-1.pdf" TargetMode="External"/><Relationship Id="rId8" Type="http://schemas.openxmlformats.org/officeDocument/2006/relationships/hyperlink" Target="https://www.sciencetheearth.com/uploads/2/4/6/5/24658156/2004_wood_a_review_of_greenhouse_gas_emission_factors.pdf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o.org/3/x5048e/x5048e00.htm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43.57"/>
    <col customWidth="1" min="3" max="3" width="14.86"/>
    <col customWidth="1" min="4" max="5" width="33.14"/>
    <col customWidth="1" min="6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ht="14.25" customHeight="1">
      <c r="A2" s="2" t="s">
        <v>9</v>
      </c>
      <c r="B2" s="2" t="s">
        <v>15</v>
      </c>
      <c r="C2" s="2" t="s">
        <v>18</v>
      </c>
      <c r="D2" s="2" t="s">
        <v>20</v>
      </c>
      <c r="E2" s="2" t="s">
        <v>24</v>
      </c>
      <c r="F2" s="2" t="s">
        <v>28</v>
      </c>
    </row>
    <row r="3" ht="14.25" customHeight="1">
      <c r="A3" s="2" t="s">
        <v>31</v>
      </c>
      <c r="B3" s="2" t="s">
        <v>34</v>
      </c>
      <c r="C3" s="2" t="s">
        <v>36</v>
      </c>
      <c r="D3" s="2" t="s">
        <v>38</v>
      </c>
      <c r="E3" s="2" t="s">
        <v>41</v>
      </c>
      <c r="F3" s="2" t="s">
        <v>43</v>
      </c>
    </row>
    <row r="4" ht="14.25" customHeight="1">
      <c r="A4" s="2" t="s">
        <v>46</v>
      </c>
      <c r="B4" s="2" t="s">
        <v>49</v>
      </c>
      <c r="C4" s="2" t="s">
        <v>51</v>
      </c>
      <c r="D4" s="2" t="s">
        <v>53</v>
      </c>
      <c r="E4" s="2" t="s">
        <v>56</v>
      </c>
      <c r="F4" s="6" t="s">
        <v>58</v>
      </c>
    </row>
    <row r="5" ht="14.25" customHeight="1">
      <c r="A5" s="2" t="s">
        <v>62</v>
      </c>
      <c r="B5" s="2" t="s">
        <v>63</v>
      </c>
      <c r="C5" s="2" t="s">
        <v>64</v>
      </c>
      <c r="D5" s="5">
        <v>273.0</v>
      </c>
      <c r="E5" s="2" t="s">
        <v>68</v>
      </c>
      <c r="F5" s="2" t="s">
        <v>70</v>
      </c>
    </row>
    <row r="6" ht="14.25" customHeight="1">
      <c r="A6" s="2" t="s">
        <v>72</v>
      </c>
      <c r="B6" s="2" t="s">
        <v>74</v>
      </c>
      <c r="C6" s="2" t="s">
        <v>77</v>
      </c>
      <c r="D6" s="2" t="s">
        <v>80</v>
      </c>
      <c r="E6" s="2" t="s">
        <v>84</v>
      </c>
      <c r="F6" s="6" t="s">
        <v>86</v>
      </c>
    </row>
    <row r="7" ht="14.25" customHeight="1">
      <c r="F7" s="2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4"/>
    <hyperlink r:id="rId2" ref="F6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22.29"/>
    <col customWidth="1" min="3" max="3" width="25.86"/>
    <col customWidth="1" min="4" max="4" width="40.71"/>
    <col customWidth="1" min="5" max="5" width="71.29"/>
    <col customWidth="1" min="6" max="6" width="49.57"/>
    <col customWidth="1" min="7" max="7" width="10.71"/>
    <col customWidth="1" min="8" max="8" width="16.57"/>
    <col customWidth="1" min="9" max="9" width="17.86"/>
    <col customWidth="1" min="10" max="26" width="10.71"/>
  </cols>
  <sheetData>
    <row r="1" ht="14.25" customHeight="1">
      <c r="A1" s="1" t="s">
        <v>4</v>
      </c>
      <c r="B1" s="1" t="s">
        <v>0</v>
      </c>
      <c r="C1" s="1" t="s">
        <v>11</v>
      </c>
      <c r="D1" s="1" t="s">
        <v>13</v>
      </c>
      <c r="E1" s="1" t="s">
        <v>17</v>
      </c>
      <c r="F1" s="1" t="s">
        <v>21</v>
      </c>
      <c r="G1" s="1" t="s">
        <v>25</v>
      </c>
      <c r="H1" s="3" t="s">
        <v>29</v>
      </c>
      <c r="I1" s="1" t="s">
        <v>39</v>
      </c>
      <c r="J1" s="1" t="s">
        <v>7</v>
      </c>
    </row>
    <row r="2" ht="14.25" customHeight="1">
      <c r="A2" s="2" t="s">
        <v>44</v>
      </c>
      <c r="B2" s="2" t="s">
        <v>48</v>
      </c>
      <c r="C2" s="2" t="s">
        <v>50</v>
      </c>
      <c r="D2" s="2" t="s">
        <v>52</v>
      </c>
      <c r="E2" s="2" t="s">
        <v>54</v>
      </c>
      <c r="F2" s="2" t="s">
        <v>55</v>
      </c>
      <c r="G2" s="2" t="s">
        <v>57</v>
      </c>
      <c r="H2" s="5" t="s">
        <v>59</v>
      </c>
      <c r="I2" s="2" t="s">
        <v>60</v>
      </c>
      <c r="J2" s="2" t="s">
        <v>61</v>
      </c>
    </row>
    <row r="3" ht="14.25" customHeight="1">
      <c r="A3" s="2">
        <v>1.0</v>
      </c>
      <c r="B3" s="2" t="s">
        <v>48</v>
      </c>
      <c r="C3" s="2" t="s">
        <v>65</v>
      </c>
      <c r="D3" s="2" t="s">
        <v>66</v>
      </c>
      <c r="E3" s="2" t="s">
        <v>67</v>
      </c>
      <c r="F3" s="2" t="s">
        <v>69</v>
      </c>
      <c r="G3" s="2" t="s">
        <v>71</v>
      </c>
      <c r="H3" s="5" t="s">
        <v>73</v>
      </c>
      <c r="I3" s="2" t="s">
        <v>75</v>
      </c>
      <c r="J3" s="2" t="s">
        <v>78</v>
      </c>
    </row>
    <row r="4" ht="14.25" customHeight="1">
      <c r="A4" s="2">
        <v>2.0</v>
      </c>
      <c r="B4" s="2" t="s">
        <v>48</v>
      </c>
      <c r="C4" s="2" t="s">
        <v>82</v>
      </c>
      <c r="D4" s="2" t="s">
        <v>83</v>
      </c>
      <c r="E4" s="2" t="s">
        <v>85</v>
      </c>
      <c r="F4" s="2" t="s">
        <v>87</v>
      </c>
      <c r="G4" s="2" t="s">
        <v>57</v>
      </c>
      <c r="H4" s="5" t="s">
        <v>88</v>
      </c>
      <c r="I4" s="2" t="s">
        <v>89</v>
      </c>
      <c r="J4" s="2" t="s">
        <v>78</v>
      </c>
    </row>
    <row r="5" ht="14.25" customHeight="1">
      <c r="A5" s="2">
        <v>3.0</v>
      </c>
      <c r="B5" s="2" t="s">
        <v>48</v>
      </c>
      <c r="C5" s="2" t="s">
        <v>82</v>
      </c>
      <c r="D5" s="2" t="s">
        <v>90</v>
      </c>
      <c r="E5" s="2" t="s">
        <v>91</v>
      </c>
      <c r="F5" s="2" t="s">
        <v>92</v>
      </c>
      <c r="G5" s="2" t="s">
        <v>71</v>
      </c>
      <c r="H5" s="5" t="s">
        <v>93</v>
      </c>
      <c r="I5" s="2" t="s">
        <v>89</v>
      </c>
      <c r="J5" s="2" t="s">
        <v>78</v>
      </c>
    </row>
    <row r="6" ht="14.25" customHeight="1">
      <c r="A6" s="2">
        <v>4.0</v>
      </c>
      <c r="B6" s="2" t="s">
        <v>48</v>
      </c>
      <c r="C6" s="2" t="s">
        <v>94</v>
      </c>
      <c r="D6" s="2" t="s">
        <v>96</v>
      </c>
      <c r="E6" s="2" t="s">
        <v>97</v>
      </c>
      <c r="F6" s="2" t="s">
        <v>98</v>
      </c>
      <c r="G6" s="2" t="s">
        <v>57</v>
      </c>
      <c r="H6" s="5" t="s">
        <v>100</v>
      </c>
      <c r="I6" s="2" t="s">
        <v>89</v>
      </c>
      <c r="J6" s="2" t="s">
        <v>78</v>
      </c>
    </row>
    <row r="7" ht="14.25" customHeight="1">
      <c r="A7" s="2">
        <v>5.0</v>
      </c>
      <c r="B7" s="2" t="s">
        <v>48</v>
      </c>
      <c r="C7" s="2" t="s">
        <v>94</v>
      </c>
      <c r="D7" s="2" t="s">
        <v>101</v>
      </c>
      <c r="E7" s="2" t="s">
        <v>102</v>
      </c>
      <c r="F7" s="2" t="s">
        <v>103</v>
      </c>
      <c r="G7" s="2" t="s">
        <v>71</v>
      </c>
      <c r="H7" s="5" t="s">
        <v>104</v>
      </c>
      <c r="I7" s="2" t="s">
        <v>89</v>
      </c>
      <c r="J7" s="2" t="s">
        <v>78</v>
      </c>
    </row>
    <row r="8" ht="14.25" customHeight="1">
      <c r="A8" s="2">
        <v>6.0</v>
      </c>
      <c r="B8" s="2" t="s">
        <v>48</v>
      </c>
      <c r="C8" s="2" t="s">
        <v>106</v>
      </c>
      <c r="D8" s="2" t="s">
        <v>107</v>
      </c>
      <c r="E8" s="2" t="s">
        <v>108</v>
      </c>
      <c r="F8" s="2" t="s">
        <v>109</v>
      </c>
      <c r="G8" s="2" t="s">
        <v>71</v>
      </c>
      <c r="H8" s="5" t="s">
        <v>59</v>
      </c>
      <c r="I8" s="2" t="s">
        <v>110</v>
      </c>
      <c r="J8" s="2" t="s">
        <v>61</v>
      </c>
    </row>
    <row r="9" ht="14.25" customHeight="1">
      <c r="A9" s="2">
        <v>7.0</v>
      </c>
      <c r="B9" s="2" t="s">
        <v>48</v>
      </c>
      <c r="C9" s="2" t="s">
        <v>62</v>
      </c>
      <c r="D9" s="2" t="s">
        <v>111</v>
      </c>
      <c r="E9" s="2" t="s">
        <v>112</v>
      </c>
      <c r="F9" s="2" t="s">
        <v>113</v>
      </c>
      <c r="G9" s="2" t="s">
        <v>114</v>
      </c>
      <c r="H9" s="5">
        <v>1.571</v>
      </c>
      <c r="I9" s="2" t="s">
        <v>115</v>
      </c>
      <c r="J9" s="2" t="s">
        <v>61</v>
      </c>
    </row>
    <row r="10" ht="14.25" customHeight="1">
      <c r="A10" s="2">
        <v>8.0</v>
      </c>
      <c r="B10" s="2" t="s">
        <v>48</v>
      </c>
      <c r="C10" s="2" t="s">
        <v>62</v>
      </c>
      <c r="D10" s="2" t="s">
        <v>116</v>
      </c>
      <c r="E10" s="2" t="s">
        <v>117</v>
      </c>
      <c r="F10" s="2" t="s">
        <v>118</v>
      </c>
      <c r="G10" s="2" t="s">
        <v>119</v>
      </c>
      <c r="H10" s="5" t="s">
        <v>120</v>
      </c>
      <c r="I10" s="2" t="s">
        <v>121</v>
      </c>
      <c r="J10" s="2" t="s">
        <v>70</v>
      </c>
    </row>
    <row r="11" ht="14.25" customHeight="1">
      <c r="H11" s="10"/>
    </row>
    <row r="12" ht="14.25" customHeight="1">
      <c r="H12" s="10"/>
    </row>
    <row r="13" ht="14.25" customHeight="1">
      <c r="H13" s="10"/>
    </row>
    <row r="14" ht="14.25" customHeight="1">
      <c r="H14" s="10"/>
    </row>
    <row r="15" ht="14.25" customHeight="1">
      <c r="H15" s="10"/>
    </row>
    <row r="16" ht="14.25" customHeight="1">
      <c r="H16" s="10"/>
    </row>
    <row r="17" ht="14.25" customHeight="1">
      <c r="H17" s="10"/>
    </row>
    <row r="18" ht="14.25" customHeight="1">
      <c r="H18" s="10"/>
    </row>
    <row r="19" ht="14.25" customHeight="1">
      <c r="H19" s="10"/>
    </row>
    <row r="20" ht="14.25" customHeight="1">
      <c r="H20" s="10"/>
    </row>
    <row r="21" ht="14.25" customHeight="1">
      <c r="H21" s="10"/>
    </row>
    <row r="22" ht="14.25" customHeight="1">
      <c r="H22" s="10"/>
    </row>
    <row r="23" ht="14.25" customHeight="1">
      <c r="H23" s="10"/>
    </row>
    <row r="24" ht="14.25" customHeight="1">
      <c r="H24" s="10"/>
    </row>
    <row r="25" ht="14.25" customHeight="1">
      <c r="H25" s="10"/>
    </row>
    <row r="26" ht="14.25" customHeight="1">
      <c r="H26" s="10"/>
    </row>
    <row r="27" ht="14.25" customHeight="1">
      <c r="H27" s="10"/>
    </row>
    <row r="28" ht="14.25" customHeight="1">
      <c r="H28" s="10"/>
    </row>
    <row r="29" ht="14.25" customHeight="1">
      <c r="H29" s="10"/>
    </row>
    <row r="30" ht="14.25" customHeight="1">
      <c r="H30" s="10"/>
    </row>
    <row r="31" ht="14.25" customHeight="1">
      <c r="H31" s="10"/>
    </row>
    <row r="32" ht="14.25" customHeight="1">
      <c r="H32" s="10"/>
    </row>
    <row r="33" ht="14.25" customHeight="1">
      <c r="H33" s="10"/>
    </row>
    <row r="34" ht="14.25" customHeight="1">
      <c r="H34" s="10"/>
    </row>
    <row r="35" ht="14.25" customHeight="1">
      <c r="H35" s="10"/>
    </row>
    <row r="36" ht="14.25" customHeight="1">
      <c r="H36" s="10"/>
    </row>
    <row r="37" ht="14.25" customHeight="1">
      <c r="H37" s="10"/>
    </row>
    <row r="38" ht="14.25" customHeight="1">
      <c r="H38" s="10"/>
    </row>
    <row r="39" ht="14.25" customHeight="1">
      <c r="H39" s="10"/>
    </row>
    <row r="40" ht="14.25" customHeight="1">
      <c r="H40" s="10"/>
    </row>
    <row r="41" ht="14.25" customHeight="1">
      <c r="H41" s="10"/>
    </row>
    <row r="42" ht="14.25" customHeight="1">
      <c r="H42" s="10"/>
    </row>
    <row r="43" ht="14.25" customHeight="1">
      <c r="H43" s="10"/>
    </row>
    <row r="44" ht="14.25" customHeight="1">
      <c r="H44" s="10"/>
    </row>
    <row r="45" ht="14.25" customHeight="1">
      <c r="H45" s="10"/>
    </row>
    <row r="46" ht="14.25" customHeight="1">
      <c r="H46" s="10"/>
    </row>
    <row r="47" ht="14.25" customHeight="1">
      <c r="H47" s="10"/>
    </row>
    <row r="48" ht="14.25" customHeight="1">
      <c r="H48" s="10"/>
    </row>
    <row r="49" ht="14.25" customHeight="1">
      <c r="H49" s="10"/>
    </row>
    <row r="50" ht="14.25" customHeight="1">
      <c r="H50" s="10"/>
    </row>
    <row r="51" ht="14.25" customHeight="1">
      <c r="H51" s="10"/>
    </row>
    <row r="52" ht="14.25" customHeight="1">
      <c r="H52" s="10"/>
    </row>
    <row r="53" ht="14.25" customHeight="1">
      <c r="H53" s="10"/>
    </row>
    <row r="54" ht="14.25" customHeight="1">
      <c r="H54" s="10"/>
    </row>
    <row r="55" ht="14.25" customHeight="1">
      <c r="H55" s="10"/>
    </row>
    <row r="56" ht="14.25" customHeight="1">
      <c r="H56" s="10"/>
    </row>
    <row r="57" ht="14.25" customHeight="1">
      <c r="H57" s="10"/>
    </row>
    <row r="58" ht="14.25" customHeight="1">
      <c r="H58" s="10"/>
    </row>
    <row r="59" ht="14.25" customHeight="1">
      <c r="H59" s="10"/>
    </row>
    <row r="60" ht="14.25" customHeight="1">
      <c r="H60" s="10"/>
    </row>
    <row r="61" ht="14.25" customHeight="1">
      <c r="H61" s="10"/>
    </row>
    <row r="62" ht="14.25" customHeight="1">
      <c r="H62" s="10"/>
    </row>
    <row r="63" ht="14.25" customHeight="1">
      <c r="H63" s="10"/>
    </row>
    <row r="64" ht="14.25" customHeight="1">
      <c r="H64" s="10"/>
    </row>
    <row r="65" ht="14.25" customHeight="1">
      <c r="H65" s="10"/>
    </row>
    <row r="66" ht="14.25" customHeight="1">
      <c r="H66" s="10"/>
    </row>
    <row r="67" ht="14.25" customHeight="1">
      <c r="H67" s="10"/>
    </row>
    <row r="68" ht="14.25" customHeight="1">
      <c r="H68" s="10"/>
    </row>
    <row r="69" ht="14.25" customHeight="1">
      <c r="H69" s="10"/>
    </row>
    <row r="70" ht="14.25" customHeight="1">
      <c r="H70" s="10"/>
    </row>
    <row r="71" ht="14.25" customHeight="1">
      <c r="H71" s="10"/>
    </row>
    <row r="72" ht="14.25" customHeight="1">
      <c r="H72" s="10"/>
    </row>
    <row r="73" ht="14.25" customHeight="1">
      <c r="H73" s="10"/>
    </row>
    <row r="74" ht="14.25" customHeight="1">
      <c r="H74" s="10"/>
    </row>
    <row r="75" ht="14.25" customHeight="1">
      <c r="H75" s="10"/>
    </row>
    <row r="76" ht="14.25" customHeight="1">
      <c r="H76" s="10"/>
    </row>
    <row r="77" ht="14.25" customHeight="1">
      <c r="H77" s="10"/>
    </row>
    <row r="78" ht="14.25" customHeight="1">
      <c r="H78" s="10"/>
    </row>
    <row r="79" ht="14.25" customHeight="1">
      <c r="H79" s="10"/>
    </row>
    <row r="80" ht="14.25" customHeight="1">
      <c r="H80" s="10"/>
    </row>
    <row r="81" ht="14.25" customHeight="1">
      <c r="H81" s="10"/>
    </row>
    <row r="82" ht="14.25" customHeight="1">
      <c r="H82" s="10"/>
    </row>
    <row r="83" ht="14.25" customHeight="1">
      <c r="H83" s="10"/>
    </row>
    <row r="84" ht="14.25" customHeight="1">
      <c r="H84" s="10"/>
    </row>
    <row r="85" ht="14.25" customHeight="1">
      <c r="H85" s="10"/>
    </row>
    <row r="86" ht="14.25" customHeight="1">
      <c r="H86" s="10"/>
    </row>
    <row r="87" ht="14.25" customHeight="1">
      <c r="H87" s="10"/>
    </row>
    <row r="88" ht="14.25" customHeight="1">
      <c r="H88" s="10"/>
    </row>
    <row r="89" ht="14.25" customHeight="1">
      <c r="H89" s="10"/>
    </row>
    <row r="90" ht="14.25" customHeight="1">
      <c r="H90" s="10"/>
    </row>
    <row r="91" ht="14.25" customHeight="1">
      <c r="H91" s="10"/>
    </row>
    <row r="92" ht="14.25" customHeight="1">
      <c r="H92" s="10"/>
    </row>
    <row r="93" ht="14.25" customHeight="1">
      <c r="H93" s="10"/>
    </row>
    <row r="94" ht="14.25" customHeight="1">
      <c r="H94" s="10"/>
    </row>
    <row r="95" ht="14.25" customHeight="1">
      <c r="H95" s="10"/>
    </row>
    <row r="96" ht="14.25" customHeight="1">
      <c r="H96" s="10"/>
    </row>
    <row r="97" ht="14.25" customHeight="1">
      <c r="H97" s="10"/>
    </row>
    <row r="98" ht="14.25" customHeight="1">
      <c r="H98" s="10"/>
    </row>
    <row r="99" ht="14.25" customHeight="1">
      <c r="H99" s="10"/>
    </row>
    <row r="100" ht="14.25" customHeight="1">
      <c r="H100" s="10"/>
    </row>
    <row r="101" ht="14.25" customHeight="1">
      <c r="H101" s="10"/>
    </row>
    <row r="102" ht="14.25" customHeight="1">
      <c r="H102" s="10"/>
    </row>
    <row r="103" ht="14.25" customHeight="1">
      <c r="H103" s="10"/>
    </row>
    <row r="104" ht="14.25" customHeight="1">
      <c r="H104" s="10"/>
    </row>
    <row r="105" ht="14.25" customHeight="1">
      <c r="H105" s="10"/>
    </row>
    <row r="106" ht="14.25" customHeight="1">
      <c r="H106" s="10"/>
    </row>
    <row r="107" ht="14.25" customHeight="1">
      <c r="H107" s="10"/>
    </row>
    <row r="108" ht="14.25" customHeight="1">
      <c r="H108" s="10"/>
    </row>
    <row r="109" ht="14.25" customHeight="1">
      <c r="H109" s="10"/>
    </row>
    <row r="110" ht="14.25" customHeight="1">
      <c r="H110" s="10"/>
    </row>
    <row r="111" ht="14.25" customHeight="1">
      <c r="H111" s="10"/>
    </row>
    <row r="112" ht="14.25" customHeight="1">
      <c r="H112" s="10"/>
    </row>
    <row r="113" ht="14.25" customHeight="1">
      <c r="H113" s="10"/>
    </row>
    <row r="114" ht="14.25" customHeight="1">
      <c r="H114" s="10"/>
    </row>
    <row r="115" ht="14.25" customHeight="1">
      <c r="H115" s="10"/>
    </row>
    <row r="116" ht="14.25" customHeight="1">
      <c r="H116" s="10"/>
    </row>
    <row r="117" ht="14.25" customHeight="1">
      <c r="H117" s="10"/>
    </row>
    <row r="118" ht="14.25" customHeight="1">
      <c r="H118" s="10"/>
    </row>
    <row r="119" ht="14.25" customHeight="1">
      <c r="H119" s="10"/>
    </row>
    <row r="120" ht="14.25" customHeight="1">
      <c r="H120" s="10"/>
    </row>
    <row r="121" ht="14.25" customHeight="1">
      <c r="H121" s="10"/>
    </row>
    <row r="122" ht="14.25" customHeight="1">
      <c r="H122" s="10"/>
    </row>
    <row r="123" ht="14.25" customHeight="1">
      <c r="H123" s="10"/>
    </row>
    <row r="124" ht="14.25" customHeight="1">
      <c r="H124" s="10"/>
    </row>
    <row r="125" ht="14.25" customHeight="1">
      <c r="H125" s="10"/>
    </row>
    <row r="126" ht="14.25" customHeight="1">
      <c r="H126" s="10"/>
    </row>
    <row r="127" ht="14.25" customHeight="1">
      <c r="H127" s="10"/>
    </row>
    <row r="128" ht="14.25" customHeight="1">
      <c r="H128" s="10"/>
    </row>
    <row r="129" ht="14.25" customHeight="1">
      <c r="H129" s="10"/>
    </row>
    <row r="130" ht="14.25" customHeight="1">
      <c r="H130" s="10"/>
    </row>
    <row r="131" ht="14.25" customHeight="1">
      <c r="H131" s="10"/>
    </row>
    <row r="132" ht="14.25" customHeight="1">
      <c r="H132" s="10"/>
    </row>
    <row r="133" ht="14.25" customHeight="1">
      <c r="H133" s="10"/>
    </row>
    <row r="134" ht="14.25" customHeight="1">
      <c r="H134" s="10"/>
    </row>
    <row r="135" ht="14.25" customHeight="1">
      <c r="H135" s="10"/>
    </row>
    <row r="136" ht="14.25" customHeight="1">
      <c r="H136" s="10"/>
    </row>
    <row r="137" ht="14.25" customHeight="1">
      <c r="H137" s="10"/>
    </row>
    <row r="138" ht="14.25" customHeight="1">
      <c r="H138" s="10"/>
    </row>
    <row r="139" ht="14.25" customHeight="1">
      <c r="H139" s="10"/>
    </row>
    <row r="140" ht="14.25" customHeight="1">
      <c r="H140" s="10"/>
    </row>
    <row r="141" ht="14.25" customHeight="1">
      <c r="H141" s="10"/>
    </row>
    <row r="142" ht="14.25" customHeight="1">
      <c r="H142" s="10"/>
    </row>
    <row r="143" ht="14.25" customHeight="1">
      <c r="H143" s="10"/>
    </row>
    <row r="144" ht="14.25" customHeight="1">
      <c r="H144" s="10"/>
    </row>
    <row r="145" ht="14.25" customHeight="1">
      <c r="H145" s="10"/>
    </row>
    <row r="146" ht="14.25" customHeight="1">
      <c r="H146" s="10"/>
    </row>
    <row r="147" ht="14.25" customHeight="1">
      <c r="H147" s="10"/>
    </row>
    <row r="148" ht="14.25" customHeight="1">
      <c r="H148" s="10"/>
    </row>
    <row r="149" ht="14.25" customHeight="1">
      <c r="H149" s="10"/>
    </row>
    <row r="150" ht="14.25" customHeight="1">
      <c r="H150" s="10"/>
    </row>
    <row r="151" ht="14.25" customHeight="1">
      <c r="H151" s="10"/>
    </row>
    <row r="152" ht="14.25" customHeight="1">
      <c r="H152" s="10"/>
    </row>
    <row r="153" ht="14.25" customHeight="1">
      <c r="H153" s="10"/>
    </row>
    <row r="154" ht="14.25" customHeight="1">
      <c r="H154" s="10"/>
    </row>
    <row r="155" ht="14.25" customHeight="1">
      <c r="H155" s="10"/>
    </row>
    <row r="156" ht="14.25" customHeight="1">
      <c r="H156" s="10"/>
    </row>
    <row r="157" ht="14.25" customHeight="1">
      <c r="H157" s="10"/>
    </row>
    <row r="158" ht="14.25" customHeight="1">
      <c r="H158" s="10"/>
    </row>
    <row r="159" ht="14.25" customHeight="1">
      <c r="H159" s="10"/>
    </row>
    <row r="160" ht="14.25" customHeight="1">
      <c r="H160" s="10"/>
    </row>
    <row r="161" ht="14.25" customHeight="1">
      <c r="H161" s="10"/>
    </row>
    <row r="162" ht="14.25" customHeight="1">
      <c r="H162" s="10"/>
    </row>
    <row r="163" ht="14.25" customHeight="1">
      <c r="H163" s="10"/>
    </row>
    <row r="164" ht="14.25" customHeight="1">
      <c r="H164" s="10"/>
    </row>
    <row r="165" ht="14.25" customHeight="1">
      <c r="H165" s="10"/>
    </row>
    <row r="166" ht="14.25" customHeight="1">
      <c r="H166" s="10"/>
    </row>
    <row r="167" ht="14.25" customHeight="1">
      <c r="H167" s="10"/>
    </row>
    <row r="168" ht="14.25" customHeight="1">
      <c r="H168" s="10"/>
    </row>
    <row r="169" ht="14.25" customHeight="1">
      <c r="H169" s="10"/>
    </row>
    <row r="170" ht="14.25" customHeight="1">
      <c r="H170" s="10"/>
    </row>
    <row r="171" ht="14.25" customHeight="1">
      <c r="H171" s="10"/>
    </row>
    <row r="172" ht="14.25" customHeight="1">
      <c r="H172" s="10"/>
    </row>
    <row r="173" ht="14.25" customHeight="1">
      <c r="H173" s="10"/>
    </row>
    <row r="174" ht="14.25" customHeight="1">
      <c r="H174" s="10"/>
    </row>
    <row r="175" ht="14.25" customHeight="1">
      <c r="H175" s="10"/>
    </row>
    <row r="176" ht="14.25" customHeight="1">
      <c r="H176" s="10"/>
    </row>
    <row r="177" ht="14.25" customHeight="1">
      <c r="H177" s="10"/>
    </row>
    <row r="178" ht="14.25" customHeight="1">
      <c r="H178" s="10"/>
    </row>
    <row r="179" ht="14.25" customHeight="1">
      <c r="H179" s="10"/>
    </row>
    <row r="180" ht="14.25" customHeight="1">
      <c r="H180" s="10"/>
    </row>
    <row r="181" ht="14.25" customHeight="1">
      <c r="H181" s="10"/>
    </row>
    <row r="182" ht="14.25" customHeight="1">
      <c r="H182" s="10"/>
    </row>
    <row r="183" ht="14.25" customHeight="1">
      <c r="H183" s="10"/>
    </row>
    <row r="184" ht="14.25" customHeight="1">
      <c r="H184" s="10"/>
    </row>
    <row r="185" ht="14.25" customHeight="1">
      <c r="H185" s="10"/>
    </row>
    <row r="186" ht="14.25" customHeight="1">
      <c r="H186" s="10"/>
    </row>
    <row r="187" ht="14.25" customHeight="1">
      <c r="H187" s="10"/>
    </row>
    <row r="188" ht="14.25" customHeight="1">
      <c r="H188" s="10"/>
    </row>
    <row r="189" ht="14.25" customHeight="1">
      <c r="H189" s="10"/>
    </row>
    <row r="190" ht="14.25" customHeight="1">
      <c r="H190" s="10"/>
    </row>
    <row r="191" ht="14.25" customHeight="1">
      <c r="H191" s="10"/>
    </row>
    <row r="192" ht="14.25" customHeight="1">
      <c r="H192" s="10"/>
    </row>
    <row r="193" ht="14.25" customHeight="1">
      <c r="H193" s="10"/>
    </row>
    <row r="194" ht="14.25" customHeight="1">
      <c r="H194" s="10"/>
    </row>
    <row r="195" ht="14.25" customHeight="1">
      <c r="H195" s="10"/>
    </row>
    <row r="196" ht="14.25" customHeight="1">
      <c r="H196" s="10"/>
    </row>
    <row r="197" ht="14.25" customHeight="1">
      <c r="H197" s="10"/>
    </row>
    <row r="198" ht="14.25" customHeight="1">
      <c r="H198" s="10"/>
    </row>
    <row r="199" ht="14.25" customHeight="1">
      <c r="H199" s="10"/>
    </row>
    <row r="200" ht="14.25" customHeight="1">
      <c r="H200" s="10"/>
    </row>
    <row r="201" ht="14.25" customHeight="1">
      <c r="H201" s="10"/>
    </row>
    <row r="202" ht="14.25" customHeight="1">
      <c r="H202" s="10"/>
    </row>
    <row r="203" ht="14.25" customHeight="1">
      <c r="H203" s="10"/>
    </row>
    <row r="204" ht="14.25" customHeight="1">
      <c r="H204" s="10"/>
    </row>
    <row r="205" ht="14.25" customHeight="1">
      <c r="H205" s="10"/>
    </row>
    <row r="206" ht="14.25" customHeight="1">
      <c r="H206" s="10"/>
    </row>
    <row r="207" ht="14.25" customHeight="1">
      <c r="H207" s="10"/>
    </row>
    <row r="208" ht="14.25" customHeight="1">
      <c r="H208" s="10"/>
    </row>
    <row r="209" ht="14.25" customHeight="1">
      <c r="H209" s="10"/>
    </row>
    <row r="210" ht="14.25" customHeight="1">
      <c r="H210" s="10"/>
    </row>
    <row r="211" ht="14.25" customHeight="1">
      <c r="H211" s="10"/>
    </row>
    <row r="212" ht="14.25" customHeight="1">
      <c r="H212" s="10"/>
    </row>
    <row r="213" ht="14.25" customHeight="1">
      <c r="H213" s="10"/>
    </row>
    <row r="214" ht="14.25" customHeight="1">
      <c r="H214" s="10"/>
    </row>
    <row r="215" ht="14.25" customHeight="1">
      <c r="H215" s="10"/>
    </row>
    <row r="216" ht="14.25" customHeight="1">
      <c r="H216" s="10"/>
    </row>
    <row r="217" ht="14.25" customHeight="1">
      <c r="H217" s="10"/>
    </row>
    <row r="218" ht="14.25" customHeight="1">
      <c r="H218" s="10"/>
    </row>
    <row r="219" ht="14.25" customHeight="1">
      <c r="H219" s="10"/>
    </row>
    <row r="220" ht="14.25" customHeight="1">
      <c r="H220" s="10"/>
    </row>
    <row r="221" ht="14.25" customHeight="1">
      <c r="H221" s="10"/>
    </row>
    <row r="222" ht="14.25" customHeight="1">
      <c r="H222" s="10"/>
    </row>
    <row r="223" ht="14.25" customHeight="1">
      <c r="H223" s="10"/>
    </row>
    <row r="224" ht="14.25" customHeight="1">
      <c r="H224" s="10"/>
    </row>
    <row r="225" ht="14.25" customHeight="1">
      <c r="H225" s="10"/>
    </row>
    <row r="226" ht="14.25" customHeight="1">
      <c r="H226" s="10"/>
    </row>
    <row r="227" ht="14.25" customHeight="1">
      <c r="H227" s="10"/>
    </row>
    <row r="228" ht="14.25" customHeight="1">
      <c r="H228" s="10"/>
    </row>
    <row r="229" ht="14.25" customHeight="1">
      <c r="H229" s="10"/>
    </row>
    <row r="230" ht="14.25" customHeight="1">
      <c r="H230" s="10"/>
    </row>
    <row r="231" ht="14.25" customHeight="1">
      <c r="H231" s="10"/>
    </row>
    <row r="232" ht="14.25" customHeight="1">
      <c r="H232" s="10"/>
    </row>
    <row r="233" ht="14.25" customHeight="1">
      <c r="H233" s="10"/>
    </row>
    <row r="234" ht="14.25" customHeight="1">
      <c r="H234" s="10"/>
    </row>
    <row r="235" ht="14.25" customHeight="1">
      <c r="H235" s="10"/>
    </row>
    <row r="236" ht="14.25" customHeight="1">
      <c r="H236" s="10"/>
    </row>
    <row r="237" ht="14.25" customHeight="1">
      <c r="H237" s="10"/>
    </row>
    <row r="238" ht="14.25" customHeight="1">
      <c r="H238" s="10"/>
    </row>
    <row r="239" ht="14.25" customHeight="1">
      <c r="H239" s="10"/>
    </row>
    <row r="240" ht="14.25" customHeight="1">
      <c r="H240" s="10"/>
    </row>
    <row r="241" ht="14.25" customHeight="1">
      <c r="H241" s="10"/>
    </row>
    <row r="242" ht="14.25" customHeight="1">
      <c r="H242" s="10"/>
    </row>
    <row r="243" ht="14.25" customHeight="1">
      <c r="H243" s="10"/>
    </row>
    <row r="244" ht="14.25" customHeight="1">
      <c r="H244" s="10"/>
    </row>
    <row r="245" ht="14.25" customHeight="1">
      <c r="H245" s="10"/>
    </row>
    <row r="246" ht="14.25" customHeight="1">
      <c r="H246" s="10"/>
    </row>
    <row r="247" ht="14.25" customHeight="1">
      <c r="H247" s="10"/>
    </row>
    <row r="248" ht="14.25" customHeight="1">
      <c r="H248" s="10"/>
    </row>
    <row r="249" ht="14.25" customHeight="1">
      <c r="H249" s="10"/>
    </row>
    <row r="250" ht="14.25" customHeight="1">
      <c r="H250" s="10"/>
    </row>
    <row r="251" ht="14.25" customHeight="1">
      <c r="H251" s="10"/>
    </row>
    <row r="252" ht="14.25" customHeight="1">
      <c r="H252" s="10"/>
    </row>
    <row r="253" ht="14.25" customHeight="1">
      <c r="H253" s="10"/>
    </row>
    <row r="254" ht="14.25" customHeight="1">
      <c r="H254" s="10"/>
    </row>
    <row r="255" ht="14.25" customHeight="1">
      <c r="H255" s="10"/>
    </row>
    <row r="256" ht="14.25" customHeight="1">
      <c r="H256" s="10"/>
    </row>
    <row r="257" ht="14.25" customHeight="1">
      <c r="H257" s="10"/>
    </row>
    <row r="258" ht="14.25" customHeight="1">
      <c r="H258" s="10"/>
    </row>
    <row r="259" ht="14.25" customHeight="1">
      <c r="H259" s="10"/>
    </row>
    <row r="260" ht="14.25" customHeight="1">
      <c r="H260" s="10"/>
    </row>
    <row r="261" ht="14.25" customHeight="1">
      <c r="H261" s="10"/>
    </row>
    <row r="262" ht="14.25" customHeight="1">
      <c r="H262" s="10"/>
    </row>
    <row r="263" ht="14.25" customHeight="1">
      <c r="H263" s="10"/>
    </row>
    <row r="264" ht="14.25" customHeight="1">
      <c r="H264" s="10"/>
    </row>
    <row r="265" ht="14.25" customHeight="1">
      <c r="H265" s="10"/>
    </row>
    <row r="266" ht="14.25" customHeight="1">
      <c r="H266" s="10"/>
    </row>
    <row r="267" ht="14.25" customHeight="1">
      <c r="H267" s="10"/>
    </row>
    <row r="268" ht="14.25" customHeight="1">
      <c r="H268" s="10"/>
    </row>
    <row r="269" ht="14.25" customHeight="1">
      <c r="H269" s="10"/>
    </row>
    <row r="270" ht="14.25" customHeight="1">
      <c r="H270" s="10"/>
    </row>
    <row r="271" ht="14.25" customHeight="1">
      <c r="H271" s="10"/>
    </row>
    <row r="272" ht="14.25" customHeight="1">
      <c r="H272" s="10"/>
    </row>
    <row r="273" ht="14.25" customHeight="1">
      <c r="H273" s="10"/>
    </row>
    <row r="274" ht="14.25" customHeight="1">
      <c r="H274" s="10"/>
    </row>
    <row r="275" ht="14.25" customHeight="1">
      <c r="H275" s="10"/>
    </row>
    <row r="276" ht="14.25" customHeight="1">
      <c r="H276" s="10"/>
    </row>
    <row r="277" ht="14.25" customHeight="1">
      <c r="H277" s="10"/>
    </row>
    <row r="278" ht="14.25" customHeight="1">
      <c r="H278" s="10"/>
    </row>
    <row r="279" ht="14.25" customHeight="1">
      <c r="H279" s="10"/>
    </row>
    <row r="280" ht="14.25" customHeight="1">
      <c r="H280" s="10"/>
    </row>
    <row r="281" ht="14.25" customHeight="1">
      <c r="H281" s="10"/>
    </row>
    <row r="282" ht="14.25" customHeight="1">
      <c r="H282" s="10"/>
    </row>
    <row r="283" ht="14.25" customHeight="1">
      <c r="H283" s="10"/>
    </row>
    <row r="284" ht="14.25" customHeight="1">
      <c r="H284" s="10"/>
    </row>
    <row r="285" ht="14.25" customHeight="1">
      <c r="H285" s="10"/>
    </row>
    <row r="286" ht="14.25" customHeight="1">
      <c r="H286" s="10"/>
    </row>
    <row r="287" ht="14.25" customHeight="1">
      <c r="H287" s="10"/>
    </row>
    <row r="288" ht="14.25" customHeight="1">
      <c r="H288" s="10"/>
    </row>
    <row r="289" ht="14.25" customHeight="1">
      <c r="H289" s="10"/>
    </row>
    <row r="290" ht="14.25" customHeight="1">
      <c r="H290" s="10"/>
    </row>
    <row r="291" ht="14.25" customHeight="1">
      <c r="H291" s="10"/>
    </row>
    <row r="292" ht="14.25" customHeight="1">
      <c r="H292" s="10"/>
    </row>
    <row r="293" ht="14.25" customHeight="1">
      <c r="H293" s="10"/>
    </row>
    <row r="294" ht="14.25" customHeight="1">
      <c r="H294" s="10"/>
    </row>
    <row r="295" ht="14.25" customHeight="1">
      <c r="H295" s="10"/>
    </row>
    <row r="296" ht="14.25" customHeight="1">
      <c r="H296" s="10"/>
    </row>
    <row r="297" ht="14.25" customHeight="1">
      <c r="H297" s="10"/>
    </row>
    <row r="298" ht="14.25" customHeight="1">
      <c r="H298" s="10"/>
    </row>
    <row r="299" ht="14.25" customHeight="1">
      <c r="H299" s="10"/>
    </row>
    <row r="300" ht="14.25" customHeight="1">
      <c r="H300" s="10"/>
    </row>
    <row r="301" ht="14.25" customHeight="1">
      <c r="H301" s="10"/>
    </row>
    <row r="302" ht="14.25" customHeight="1">
      <c r="H302" s="10"/>
    </row>
    <row r="303" ht="14.25" customHeight="1">
      <c r="H303" s="10"/>
    </row>
    <row r="304" ht="14.25" customHeight="1">
      <c r="H304" s="10"/>
    </row>
    <row r="305" ht="14.25" customHeight="1">
      <c r="H305" s="10"/>
    </row>
    <row r="306" ht="14.25" customHeight="1">
      <c r="H306" s="10"/>
    </row>
    <row r="307" ht="14.25" customHeight="1">
      <c r="H307" s="10"/>
    </row>
    <row r="308" ht="14.25" customHeight="1">
      <c r="H308" s="10"/>
    </row>
    <row r="309" ht="14.25" customHeight="1">
      <c r="H309" s="10"/>
    </row>
    <row r="310" ht="14.25" customHeight="1">
      <c r="H310" s="10"/>
    </row>
    <row r="311" ht="14.25" customHeight="1">
      <c r="H311" s="10"/>
    </row>
    <row r="312" ht="14.25" customHeight="1">
      <c r="H312" s="10"/>
    </row>
    <row r="313" ht="14.25" customHeight="1">
      <c r="H313" s="10"/>
    </row>
    <row r="314" ht="14.25" customHeight="1">
      <c r="H314" s="10"/>
    </row>
    <row r="315" ht="14.25" customHeight="1">
      <c r="H315" s="10"/>
    </row>
    <row r="316" ht="14.25" customHeight="1">
      <c r="H316" s="10"/>
    </row>
    <row r="317" ht="14.25" customHeight="1">
      <c r="H317" s="10"/>
    </row>
    <row r="318" ht="14.25" customHeight="1">
      <c r="H318" s="10"/>
    </row>
    <row r="319" ht="14.25" customHeight="1">
      <c r="H319" s="10"/>
    </row>
    <row r="320" ht="14.25" customHeight="1">
      <c r="H320" s="10"/>
    </row>
    <row r="321" ht="14.25" customHeight="1">
      <c r="H321" s="10"/>
    </row>
    <row r="322" ht="14.25" customHeight="1">
      <c r="H322" s="10"/>
    </row>
    <row r="323" ht="14.25" customHeight="1">
      <c r="H323" s="10"/>
    </row>
    <row r="324" ht="14.25" customHeight="1">
      <c r="H324" s="10"/>
    </row>
    <row r="325" ht="14.25" customHeight="1">
      <c r="H325" s="10"/>
    </row>
    <row r="326" ht="14.25" customHeight="1">
      <c r="H326" s="10"/>
    </row>
    <row r="327" ht="14.25" customHeight="1">
      <c r="H327" s="10"/>
    </row>
    <row r="328" ht="14.25" customHeight="1">
      <c r="H328" s="10"/>
    </row>
    <row r="329" ht="14.25" customHeight="1">
      <c r="H329" s="10"/>
    </row>
    <row r="330" ht="14.25" customHeight="1">
      <c r="H330" s="10"/>
    </row>
    <row r="331" ht="14.25" customHeight="1">
      <c r="H331" s="10"/>
    </row>
    <row r="332" ht="14.25" customHeight="1">
      <c r="H332" s="10"/>
    </row>
    <row r="333" ht="14.25" customHeight="1">
      <c r="H333" s="10"/>
    </row>
    <row r="334" ht="14.25" customHeight="1">
      <c r="H334" s="10"/>
    </row>
    <row r="335" ht="14.25" customHeight="1">
      <c r="H335" s="10"/>
    </row>
    <row r="336" ht="14.25" customHeight="1">
      <c r="H336" s="10"/>
    </row>
    <row r="337" ht="14.25" customHeight="1">
      <c r="H337" s="10"/>
    </row>
    <row r="338" ht="14.25" customHeight="1">
      <c r="H338" s="10"/>
    </row>
    <row r="339" ht="14.25" customHeight="1">
      <c r="H339" s="10"/>
    </row>
    <row r="340" ht="14.25" customHeight="1">
      <c r="H340" s="10"/>
    </row>
    <row r="341" ht="14.25" customHeight="1">
      <c r="H341" s="10"/>
    </row>
    <row r="342" ht="14.25" customHeight="1">
      <c r="H342" s="10"/>
    </row>
    <row r="343" ht="14.25" customHeight="1">
      <c r="H343" s="10"/>
    </row>
    <row r="344" ht="14.25" customHeight="1">
      <c r="H344" s="10"/>
    </row>
    <row r="345" ht="14.25" customHeight="1">
      <c r="H345" s="10"/>
    </row>
    <row r="346" ht="14.25" customHeight="1">
      <c r="H346" s="10"/>
    </row>
    <row r="347" ht="14.25" customHeight="1">
      <c r="H347" s="10"/>
    </row>
    <row r="348" ht="14.25" customHeight="1">
      <c r="H348" s="10"/>
    </row>
    <row r="349" ht="14.25" customHeight="1">
      <c r="H349" s="10"/>
    </row>
    <row r="350" ht="14.25" customHeight="1">
      <c r="H350" s="10"/>
    </row>
    <row r="351" ht="14.25" customHeight="1">
      <c r="H351" s="10"/>
    </row>
    <row r="352" ht="14.25" customHeight="1">
      <c r="H352" s="10"/>
    </row>
    <row r="353" ht="14.25" customHeight="1">
      <c r="H353" s="10"/>
    </row>
    <row r="354" ht="14.25" customHeight="1">
      <c r="H354" s="10"/>
    </row>
    <row r="355" ht="14.25" customHeight="1">
      <c r="H355" s="10"/>
    </row>
    <row r="356" ht="14.25" customHeight="1">
      <c r="H356" s="10"/>
    </row>
    <row r="357" ht="14.25" customHeight="1">
      <c r="H357" s="10"/>
    </row>
    <row r="358" ht="14.25" customHeight="1">
      <c r="H358" s="10"/>
    </row>
    <row r="359" ht="14.25" customHeight="1">
      <c r="H359" s="10"/>
    </row>
    <row r="360" ht="14.25" customHeight="1">
      <c r="H360" s="10"/>
    </row>
    <row r="361" ht="14.25" customHeight="1">
      <c r="H361" s="10"/>
    </row>
    <row r="362" ht="14.25" customHeight="1">
      <c r="H362" s="10"/>
    </row>
    <row r="363" ht="14.25" customHeight="1">
      <c r="H363" s="10"/>
    </row>
    <row r="364" ht="14.25" customHeight="1">
      <c r="H364" s="10"/>
    </row>
    <row r="365" ht="14.25" customHeight="1">
      <c r="H365" s="10"/>
    </row>
    <row r="366" ht="14.25" customHeight="1">
      <c r="H366" s="10"/>
    </row>
    <row r="367" ht="14.25" customHeight="1">
      <c r="H367" s="10"/>
    </row>
    <row r="368" ht="14.25" customHeight="1">
      <c r="H368" s="10"/>
    </row>
    <row r="369" ht="14.25" customHeight="1">
      <c r="H369" s="10"/>
    </row>
    <row r="370" ht="14.25" customHeight="1">
      <c r="H370" s="10"/>
    </row>
    <row r="371" ht="14.25" customHeight="1">
      <c r="H371" s="10"/>
    </row>
    <row r="372" ht="14.25" customHeight="1">
      <c r="H372" s="10"/>
    </row>
    <row r="373" ht="14.25" customHeight="1">
      <c r="H373" s="10"/>
    </row>
    <row r="374" ht="14.25" customHeight="1">
      <c r="H374" s="10"/>
    </row>
    <row r="375" ht="14.25" customHeight="1">
      <c r="H375" s="10"/>
    </row>
    <row r="376" ht="14.25" customHeight="1">
      <c r="H376" s="10"/>
    </row>
    <row r="377" ht="14.25" customHeight="1">
      <c r="H377" s="10"/>
    </row>
    <row r="378" ht="14.25" customHeight="1">
      <c r="H378" s="10"/>
    </row>
    <row r="379" ht="14.25" customHeight="1">
      <c r="H379" s="10"/>
    </row>
    <row r="380" ht="14.25" customHeight="1">
      <c r="H380" s="10"/>
    </row>
    <row r="381" ht="14.25" customHeight="1">
      <c r="H381" s="10"/>
    </row>
    <row r="382" ht="14.25" customHeight="1">
      <c r="H382" s="10"/>
    </row>
    <row r="383" ht="14.25" customHeight="1">
      <c r="H383" s="10"/>
    </row>
    <row r="384" ht="14.25" customHeight="1">
      <c r="H384" s="10"/>
    </row>
    <row r="385" ht="14.25" customHeight="1">
      <c r="H385" s="10"/>
    </row>
    <row r="386" ht="14.25" customHeight="1">
      <c r="H386" s="10"/>
    </row>
    <row r="387" ht="14.25" customHeight="1">
      <c r="H387" s="10"/>
    </row>
    <row r="388" ht="14.25" customHeight="1">
      <c r="H388" s="10"/>
    </row>
    <row r="389" ht="14.25" customHeight="1">
      <c r="H389" s="10"/>
    </row>
    <row r="390" ht="14.25" customHeight="1">
      <c r="H390" s="10"/>
    </row>
    <row r="391" ht="14.25" customHeight="1">
      <c r="H391" s="10"/>
    </row>
    <row r="392" ht="14.25" customHeight="1">
      <c r="H392" s="10"/>
    </row>
    <row r="393" ht="14.25" customHeight="1">
      <c r="H393" s="10"/>
    </row>
    <row r="394" ht="14.25" customHeight="1">
      <c r="H394" s="10"/>
    </row>
    <row r="395" ht="14.25" customHeight="1">
      <c r="H395" s="10"/>
    </row>
    <row r="396" ht="14.25" customHeight="1">
      <c r="H396" s="10"/>
    </row>
    <row r="397" ht="14.25" customHeight="1">
      <c r="H397" s="10"/>
    </row>
    <row r="398" ht="14.25" customHeight="1">
      <c r="H398" s="10"/>
    </row>
    <row r="399" ht="14.25" customHeight="1">
      <c r="H399" s="10"/>
    </row>
    <row r="400" ht="14.25" customHeight="1">
      <c r="H400" s="10"/>
    </row>
    <row r="401" ht="14.25" customHeight="1">
      <c r="H401" s="10"/>
    </row>
    <row r="402" ht="14.25" customHeight="1">
      <c r="H402" s="10"/>
    </row>
    <row r="403" ht="14.25" customHeight="1">
      <c r="H403" s="10"/>
    </row>
    <row r="404" ht="14.25" customHeight="1">
      <c r="H404" s="10"/>
    </row>
    <row r="405" ht="14.25" customHeight="1">
      <c r="H405" s="10"/>
    </row>
    <row r="406" ht="14.25" customHeight="1">
      <c r="H406" s="10"/>
    </row>
    <row r="407" ht="14.25" customHeight="1">
      <c r="H407" s="10"/>
    </row>
    <row r="408" ht="14.25" customHeight="1">
      <c r="H408" s="10"/>
    </row>
    <row r="409" ht="14.25" customHeight="1">
      <c r="H409" s="10"/>
    </row>
    <row r="410" ht="14.25" customHeight="1">
      <c r="H410" s="10"/>
    </row>
    <row r="411" ht="14.25" customHeight="1">
      <c r="H411" s="10"/>
    </row>
    <row r="412" ht="14.25" customHeight="1">
      <c r="H412" s="10"/>
    </row>
    <row r="413" ht="14.25" customHeight="1">
      <c r="H413" s="10"/>
    </row>
    <row r="414" ht="14.25" customHeight="1">
      <c r="H414" s="10"/>
    </row>
    <row r="415" ht="14.25" customHeight="1">
      <c r="H415" s="10"/>
    </row>
    <row r="416" ht="14.25" customHeight="1">
      <c r="H416" s="10"/>
    </row>
    <row r="417" ht="14.25" customHeight="1">
      <c r="H417" s="10"/>
    </row>
    <row r="418" ht="14.25" customHeight="1">
      <c r="H418" s="10"/>
    </row>
    <row r="419" ht="14.25" customHeight="1">
      <c r="H419" s="10"/>
    </row>
    <row r="420" ht="14.25" customHeight="1">
      <c r="H420" s="10"/>
    </row>
    <row r="421" ht="14.25" customHeight="1">
      <c r="H421" s="10"/>
    </row>
    <row r="422" ht="14.25" customHeight="1">
      <c r="H422" s="10"/>
    </row>
    <row r="423" ht="14.25" customHeight="1">
      <c r="H423" s="10"/>
    </row>
    <row r="424" ht="14.25" customHeight="1">
      <c r="H424" s="10"/>
    </row>
    <row r="425" ht="14.25" customHeight="1">
      <c r="H425" s="10"/>
    </row>
    <row r="426" ht="14.25" customHeight="1">
      <c r="H426" s="10"/>
    </row>
    <row r="427" ht="14.25" customHeight="1">
      <c r="H427" s="10"/>
    </row>
    <row r="428" ht="14.25" customHeight="1">
      <c r="H428" s="10"/>
    </row>
    <row r="429" ht="14.25" customHeight="1">
      <c r="H429" s="10"/>
    </row>
    <row r="430" ht="14.25" customHeight="1">
      <c r="H430" s="10"/>
    </row>
    <row r="431" ht="14.25" customHeight="1">
      <c r="H431" s="10"/>
    </row>
    <row r="432" ht="14.25" customHeight="1">
      <c r="H432" s="10"/>
    </row>
    <row r="433" ht="14.25" customHeight="1">
      <c r="H433" s="10"/>
    </row>
    <row r="434" ht="14.25" customHeight="1">
      <c r="H434" s="10"/>
    </row>
    <row r="435" ht="14.25" customHeight="1">
      <c r="H435" s="10"/>
    </row>
    <row r="436" ht="14.25" customHeight="1">
      <c r="H436" s="10"/>
    </row>
    <row r="437" ht="14.25" customHeight="1">
      <c r="H437" s="10"/>
    </row>
    <row r="438" ht="14.25" customHeight="1">
      <c r="H438" s="10"/>
    </row>
    <row r="439" ht="14.25" customHeight="1">
      <c r="H439" s="10"/>
    </row>
    <row r="440" ht="14.25" customHeight="1">
      <c r="H440" s="10"/>
    </row>
    <row r="441" ht="14.25" customHeight="1">
      <c r="H441" s="10"/>
    </row>
    <row r="442" ht="14.25" customHeight="1">
      <c r="H442" s="10"/>
    </row>
    <row r="443" ht="14.25" customHeight="1">
      <c r="H443" s="10"/>
    </row>
    <row r="444" ht="14.25" customHeight="1">
      <c r="H444" s="10"/>
    </row>
    <row r="445" ht="14.25" customHeight="1">
      <c r="H445" s="10"/>
    </row>
    <row r="446" ht="14.25" customHeight="1">
      <c r="H446" s="10"/>
    </row>
    <row r="447" ht="14.25" customHeight="1">
      <c r="H447" s="10"/>
    </row>
    <row r="448" ht="14.25" customHeight="1">
      <c r="H448" s="10"/>
    </row>
    <row r="449" ht="14.25" customHeight="1">
      <c r="H449" s="10"/>
    </row>
    <row r="450" ht="14.25" customHeight="1">
      <c r="H450" s="10"/>
    </row>
    <row r="451" ht="14.25" customHeight="1">
      <c r="H451" s="10"/>
    </row>
    <row r="452" ht="14.25" customHeight="1">
      <c r="H452" s="10"/>
    </row>
    <row r="453" ht="14.25" customHeight="1">
      <c r="H453" s="10"/>
    </row>
    <row r="454" ht="14.25" customHeight="1">
      <c r="H454" s="10"/>
    </row>
    <row r="455" ht="14.25" customHeight="1">
      <c r="H455" s="10"/>
    </row>
    <row r="456" ht="14.25" customHeight="1">
      <c r="H456" s="10"/>
    </row>
    <row r="457" ht="14.25" customHeight="1">
      <c r="H457" s="10"/>
    </row>
    <row r="458" ht="14.25" customHeight="1">
      <c r="H458" s="10"/>
    </row>
    <row r="459" ht="14.25" customHeight="1">
      <c r="H459" s="10"/>
    </row>
    <row r="460" ht="14.25" customHeight="1">
      <c r="H460" s="10"/>
    </row>
    <row r="461" ht="14.25" customHeight="1">
      <c r="H461" s="10"/>
    </row>
    <row r="462" ht="14.25" customHeight="1">
      <c r="H462" s="10"/>
    </row>
    <row r="463" ht="14.25" customHeight="1">
      <c r="H463" s="10"/>
    </row>
    <row r="464" ht="14.25" customHeight="1">
      <c r="H464" s="10"/>
    </row>
    <row r="465" ht="14.25" customHeight="1">
      <c r="H465" s="10"/>
    </row>
    <row r="466" ht="14.25" customHeight="1">
      <c r="H466" s="10"/>
    </row>
    <row r="467" ht="14.25" customHeight="1">
      <c r="H467" s="10"/>
    </row>
    <row r="468" ht="14.25" customHeight="1">
      <c r="H468" s="10"/>
    </row>
    <row r="469" ht="14.25" customHeight="1">
      <c r="H469" s="10"/>
    </row>
    <row r="470" ht="14.25" customHeight="1">
      <c r="H470" s="10"/>
    </row>
    <row r="471" ht="14.25" customHeight="1">
      <c r="H471" s="10"/>
    </row>
    <row r="472" ht="14.25" customHeight="1">
      <c r="H472" s="10"/>
    </row>
    <row r="473" ht="14.25" customHeight="1">
      <c r="H473" s="10"/>
    </row>
    <row r="474" ht="14.25" customHeight="1">
      <c r="H474" s="10"/>
    </row>
    <row r="475" ht="14.25" customHeight="1">
      <c r="H475" s="10"/>
    </row>
    <row r="476" ht="14.25" customHeight="1">
      <c r="H476" s="10"/>
    </row>
    <row r="477" ht="14.25" customHeight="1">
      <c r="H477" s="10"/>
    </row>
    <row r="478" ht="14.25" customHeight="1">
      <c r="H478" s="10"/>
    </row>
    <row r="479" ht="14.25" customHeight="1">
      <c r="H479" s="10"/>
    </row>
    <row r="480" ht="14.25" customHeight="1">
      <c r="H480" s="10"/>
    </row>
    <row r="481" ht="14.25" customHeight="1">
      <c r="H481" s="10"/>
    </row>
    <row r="482" ht="14.25" customHeight="1">
      <c r="H482" s="10"/>
    </row>
    <row r="483" ht="14.25" customHeight="1">
      <c r="H483" s="10"/>
    </row>
    <row r="484" ht="14.25" customHeight="1">
      <c r="H484" s="10"/>
    </row>
    <row r="485" ht="14.25" customHeight="1">
      <c r="H485" s="10"/>
    </row>
    <row r="486" ht="14.25" customHeight="1">
      <c r="H486" s="10"/>
    </row>
    <row r="487" ht="14.25" customHeight="1">
      <c r="H487" s="10"/>
    </row>
    <row r="488" ht="14.25" customHeight="1">
      <c r="H488" s="10"/>
    </row>
    <row r="489" ht="14.25" customHeight="1">
      <c r="H489" s="10"/>
    </row>
    <row r="490" ht="14.25" customHeight="1">
      <c r="H490" s="10"/>
    </row>
    <row r="491" ht="14.25" customHeight="1">
      <c r="H491" s="10"/>
    </row>
    <row r="492" ht="14.25" customHeight="1">
      <c r="H492" s="10"/>
    </row>
    <row r="493" ht="14.25" customHeight="1">
      <c r="H493" s="10"/>
    </row>
    <row r="494" ht="14.25" customHeight="1">
      <c r="H494" s="10"/>
    </row>
    <row r="495" ht="14.25" customHeight="1">
      <c r="H495" s="10"/>
    </row>
    <row r="496" ht="14.25" customHeight="1">
      <c r="H496" s="10"/>
    </row>
    <row r="497" ht="14.25" customHeight="1">
      <c r="H497" s="10"/>
    </row>
    <row r="498" ht="14.25" customHeight="1">
      <c r="H498" s="10"/>
    </row>
    <row r="499" ht="14.25" customHeight="1">
      <c r="H499" s="10"/>
    </row>
    <row r="500" ht="14.25" customHeight="1">
      <c r="H500" s="10"/>
    </row>
    <row r="501" ht="14.25" customHeight="1">
      <c r="H501" s="10"/>
    </row>
    <row r="502" ht="14.25" customHeight="1">
      <c r="H502" s="10"/>
    </row>
    <row r="503" ht="14.25" customHeight="1">
      <c r="H503" s="10"/>
    </row>
    <row r="504" ht="14.25" customHeight="1">
      <c r="H504" s="10"/>
    </row>
    <row r="505" ht="14.25" customHeight="1">
      <c r="H505" s="10"/>
    </row>
    <row r="506" ht="14.25" customHeight="1">
      <c r="H506" s="10"/>
    </row>
    <row r="507" ht="14.25" customHeight="1">
      <c r="H507" s="10"/>
    </row>
    <row r="508" ht="14.25" customHeight="1">
      <c r="H508" s="10"/>
    </row>
    <row r="509" ht="14.25" customHeight="1">
      <c r="H509" s="10"/>
    </row>
    <row r="510" ht="14.25" customHeight="1">
      <c r="H510" s="10"/>
    </row>
    <row r="511" ht="14.25" customHeight="1">
      <c r="H511" s="10"/>
    </row>
    <row r="512" ht="14.25" customHeight="1">
      <c r="H512" s="10"/>
    </row>
    <row r="513" ht="14.25" customHeight="1">
      <c r="H513" s="10"/>
    </row>
    <row r="514" ht="14.25" customHeight="1">
      <c r="H514" s="10"/>
    </row>
    <row r="515" ht="14.25" customHeight="1">
      <c r="H515" s="10"/>
    </row>
    <row r="516" ht="14.25" customHeight="1">
      <c r="H516" s="10"/>
    </row>
    <row r="517" ht="14.25" customHeight="1">
      <c r="H517" s="10"/>
    </row>
    <row r="518" ht="14.25" customHeight="1">
      <c r="H518" s="10"/>
    </row>
    <row r="519" ht="14.25" customHeight="1">
      <c r="H519" s="10"/>
    </row>
    <row r="520" ht="14.25" customHeight="1">
      <c r="H520" s="10"/>
    </row>
    <row r="521" ht="14.25" customHeight="1">
      <c r="H521" s="10"/>
    </row>
    <row r="522" ht="14.25" customHeight="1">
      <c r="H522" s="10"/>
    </row>
    <row r="523" ht="14.25" customHeight="1">
      <c r="H523" s="10"/>
    </row>
    <row r="524" ht="14.25" customHeight="1">
      <c r="H524" s="10"/>
    </row>
    <row r="525" ht="14.25" customHeight="1">
      <c r="H525" s="10"/>
    </row>
    <row r="526" ht="14.25" customHeight="1">
      <c r="H526" s="10"/>
    </row>
    <row r="527" ht="14.25" customHeight="1">
      <c r="H527" s="10"/>
    </row>
    <row r="528" ht="14.25" customHeight="1">
      <c r="H528" s="10"/>
    </row>
    <row r="529" ht="14.25" customHeight="1">
      <c r="H529" s="10"/>
    </row>
    <row r="530" ht="14.25" customHeight="1">
      <c r="H530" s="10"/>
    </row>
    <row r="531" ht="14.25" customHeight="1">
      <c r="H531" s="10"/>
    </row>
    <row r="532" ht="14.25" customHeight="1">
      <c r="H532" s="10"/>
    </row>
    <row r="533" ht="14.25" customHeight="1">
      <c r="H533" s="10"/>
    </row>
    <row r="534" ht="14.25" customHeight="1">
      <c r="H534" s="10"/>
    </row>
    <row r="535" ht="14.25" customHeight="1">
      <c r="H535" s="10"/>
    </row>
    <row r="536" ht="14.25" customHeight="1">
      <c r="H536" s="10"/>
    </row>
    <row r="537" ht="14.25" customHeight="1">
      <c r="H537" s="10"/>
    </row>
    <row r="538" ht="14.25" customHeight="1">
      <c r="H538" s="10"/>
    </row>
    <row r="539" ht="14.25" customHeight="1">
      <c r="H539" s="10"/>
    </row>
    <row r="540" ht="14.25" customHeight="1">
      <c r="H540" s="10"/>
    </row>
    <row r="541" ht="14.25" customHeight="1">
      <c r="H541" s="10"/>
    </row>
    <row r="542" ht="14.25" customHeight="1">
      <c r="H542" s="10"/>
    </row>
    <row r="543" ht="14.25" customHeight="1">
      <c r="H543" s="10"/>
    </row>
    <row r="544" ht="14.25" customHeight="1">
      <c r="H544" s="10"/>
    </row>
    <row r="545" ht="14.25" customHeight="1">
      <c r="H545" s="10"/>
    </row>
    <row r="546" ht="14.25" customHeight="1">
      <c r="H546" s="10"/>
    </row>
    <row r="547" ht="14.25" customHeight="1">
      <c r="H547" s="10"/>
    </row>
    <row r="548" ht="14.25" customHeight="1">
      <c r="H548" s="10"/>
    </row>
    <row r="549" ht="14.25" customHeight="1">
      <c r="H549" s="10"/>
    </row>
    <row r="550" ht="14.25" customHeight="1">
      <c r="H550" s="10"/>
    </row>
    <row r="551" ht="14.25" customHeight="1">
      <c r="H551" s="10"/>
    </row>
    <row r="552" ht="14.25" customHeight="1">
      <c r="H552" s="10"/>
    </row>
    <row r="553" ht="14.25" customHeight="1">
      <c r="H553" s="10"/>
    </row>
    <row r="554" ht="14.25" customHeight="1">
      <c r="H554" s="10"/>
    </row>
    <row r="555" ht="14.25" customHeight="1">
      <c r="H555" s="10"/>
    </row>
    <row r="556" ht="14.25" customHeight="1">
      <c r="H556" s="10"/>
    </row>
    <row r="557" ht="14.25" customHeight="1">
      <c r="H557" s="10"/>
    </row>
    <row r="558" ht="14.25" customHeight="1">
      <c r="H558" s="10"/>
    </row>
    <row r="559" ht="14.25" customHeight="1">
      <c r="H559" s="10"/>
    </row>
    <row r="560" ht="14.25" customHeight="1">
      <c r="H560" s="10"/>
    </row>
    <row r="561" ht="14.25" customHeight="1">
      <c r="H561" s="10"/>
    </row>
    <row r="562" ht="14.25" customHeight="1">
      <c r="H562" s="10"/>
    </row>
    <row r="563" ht="14.25" customHeight="1">
      <c r="H563" s="10"/>
    </row>
    <row r="564" ht="14.25" customHeight="1">
      <c r="H564" s="10"/>
    </row>
    <row r="565" ht="14.25" customHeight="1">
      <c r="H565" s="10"/>
    </row>
    <row r="566" ht="14.25" customHeight="1">
      <c r="H566" s="10"/>
    </row>
    <row r="567" ht="14.25" customHeight="1">
      <c r="H567" s="10"/>
    </row>
    <row r="568" ht="14.25" customHeight="1">
      <c r="H568" s="10"/>
    </row>
    <row r="569" ht="14.25" customHeight="1">
      <c r="H569" s="10"/>
    </row>
    <row r="570" ht="14.25" customHeight="1">
      <c r="H570" s="10"/>
    </row>
    <row r="571" ht="14.25" customHeight="1">
      <c r="H571" s="10"/>
    </row>
    <row r="572" ht="14.25" customHeight="1">
      <c r="H572" s="10"/>
    </row>
    <row r="573" ht="14.25" customHeight="1">
      <c r="H573" s="10"/>
    </row>
    <row r="574" ht="14.25" customHeight="1">
      <c r="H574" s="10"/>
    </row>
    <row r="575" ht="14.25" customHeight="1">
      <c r="H575" s="10"/>
    </row>
    <row r="576" ht="14.25" customHeight="1">
      <c r="H576" s="10"/>
    </row>
    <row r="577" ht="14.25" customHeight="1">
      <c r="H577" s="10"/>
    </row>
    <row r="578" ht="14.25" customHeight="1">
      <c r="H578" s="10"/>
    </row>
    <row r="579" ht="14.25" customHeight="1">
      <c r="H579" s="10"/>
    </row>
    <row r="580" ht="14.25" customHeight="1">
      <c r="H580" s="10"/>
    </row>
    <row r="581" ht="14.25" customHeight="1">
      <c r="H581" s="10"/>
    </row>
    <row r="582" ht="14.25" customHeight="1">
      <c r="H582" s="10"/>
    </row>
    <row r="583" ht="14.25" customHeight="1">
      <c r="H583" s="10"/>
    </row>
    <row r="584" ht="14.25" customHeight="1">
      <c r="H584" s="10"/>
    </row>
    <row r="585" ht="14.25" customHeight="1">
      <c r="H585" s="10"/>
    </row>
    <row r="586" ht="14.25" customHeight="1">
      <c r="H586" s="10"/>
    </row>
    <row r="587" ht="14.25" customHeight="1">
      <c r="H587" s="10"/>
    </row>
    <row r="588" ht="14.25" customHeight="1">
      <c r="H588" s="10"/>
    </row>
    <row r="589" ht="14.25" customHeight="1">
      <c r="H589" s="10"/>
    </row>
    <row r="590" ht="14.25" customHeight="1">
      <c r="H590" s="10"/>
    </row>
    <row r="591" ht="14.25" customHeight="1">
      <c r="H591" s="10"/>
    </row>
    <row r="592" ht="14.25" customHeight="1">
      <c r="H592" s="10"/>
    </row>
    <row r="593" ht="14.25" customHeight="1">
      <c r="H593" s="10"/>
    </row>
    <row r="594" ht="14.25" customHeight="1">
      <c r="H594" s="10"/>
    </row>
    <row r="595" ht="14.25" customHeight="1">
      <c r="H595" s="10"/>
    </row>
    <row r="596" ht="14.25" customHeight="1">
      <c r="H596" s="10"/>
    </row>
    <row r="597" ht="14.25" customHeight="1">
      <c r="H597" s="10"/>
    </row>
    <row r="598" ht="14.25" customHeight="1">
      <c r="H598" s="10"/>
    </row>
    <row r="599" ht="14.25" customHeight="1">
      <c r="H599" s="10"/>
    </row>
    <row r="600" ht="14.25" customHeight="1">
      <c r="H600" s="10"/>
    </row>
    <row r="601" ht="14.25" customHeight="1">
      <c r="H601" s="10"/>
    </row>
    <row r="602" ht="14.25" customHeight="1">
      <c r="H602" s="10"/>
    </row>
    <row r="603" ht="14.25" customHeight="1">
      <c r="H603" s="10"/>
    </row>
    <row r="604" ht="14.25" customHeight="1">
      <c r="H604" s="10"/>
    </row>
    <row r="605" ht="14.25" customHeight="1">
      <c r="H605" s="10"/>
    </row>
    <row r="606" ht="14.25" customHeight="1">
      <c r="H606" s="10"/>
    </row>
    <row r="607" ht="14.25" customHeight="1">
      <c r="H607" s="10"/>
    </row>
    <row r="608" ht="14.25" customHeight="1">
      <c r="H608" s="10"/>
    </row>
    <row r="609" ht="14.25" customHeight="1">
      <c r="H609" s="10"/>
    </row>
    <row r="610" ht="14.25" customHeight="1">
      <c r="H610" s="10"/>
    </row>
    <row r="611" ht="14.25" customHeight="1">
      <c r="H611" s="10"/>
    </row>
    <row r="612" ht="14.25" customHeight="1">
      <c r="H612" s="10"/>
    </row>
    <row r="613" ht="14.25" customHeight="1">
      <c r="H613" s="10"/>
    </row>
    <row r="614" ht="14.25" customHeight="1">
      <c r="H614" s="10"/>
    </row>
    <row r="615" ht="14.25" customHeight="1">
      <c r="H615" s="10"/>
    </row>
    <row r="616" ht="14.25" customHeight="1">
      <c r="H616" s="10"/>
    </row>
    <row r="617" ht="14.25" customHeight="1">
      <c r="H617" s="10"/>
    </row>
    <row r="618" ht="14.25" customHeight="1">
      <c r="H618" s="10"/>
    </row>
    <row r="619" ht="14.25" customHeight="1">
      <c r="H619" s="10"/>
    </row>
    <row r="620" ht="14.25" customHeight="1">
      <c r="H620" s="10"/>
    </row>
    <row r="621" ht="14.25" customHeight="1">
      <c r="H621" s="10"/>
    </row>
    <row r="622" ht="14.25" customHeight="1">
      <c r="H622" s="10"/>
    </row>
    <row r="623" ht="14.25" customHeight="1">
      <c r="H623" s="10"/>
    </row>
    <row r="624" ht="14.25" customHeight="1">
      <c r="H624" s="10"/>
    </row>
    <row r="625" ht="14.25" customHeight="1">
      <c r="H625" s="10"/>
    </row>
    <row r="626" ht="14.25" customHeight="1">
      <c r="H626" s="10"/>
    </row>
    <row r="627" ht="14.25" customHeight="1">
      <c r="H627" s="10"/>
    </row>
    <row r="628" ht="14.25" customHeight="1">
      <c r="H628" s="10"/>
    </row>
    <row r="629" ht="14.25" customHeight="1">
      <c r="H629" s="10"/>
    </row>
    <row r="630" ht="14.25" customHeight="1">
      <c r="H630" s="10"/>
    </row>
    <row r="631" ht="14.25" customHeight="1">
      <c r="H631" s="10"/>
    </row>
    <row r="632" ht="14.25" customHeight="1">
      <c r="H632" s="10"/>
    </row>
    <row r="633" ht="14.25" customHeight="1">
      <c r="H633" s="10"/>
    </row>
    <row r="634" ht="14.25" customHeight="1">
      <c r="H634" s="10"/>
    </row>
    <row r="635" ht="14.25" customHeight="1">
      <c r="H635" s="10"/>
    </row>
    <row r="636" ht="14.25" customHeight="1">
      <c r="H636" s="10"/>
    </row>
    <row r="637" ht="14.25" customHeight="1">
      <c r="H637" s="10"/>
    </row>
    <row r="638" ht="14.25" customHeight="1">
      <c r="H638" s="10"/>
    </row>
    <row r="639" ht="14.25" customHeight="1">
      <c r="H639" s="10"/>
    </row>
    <row r="640" ht="14.25" customHeight="1">
      <c r="H640" s="10"/>
    </row>
    <row r="641" ht="14.25" customHeight="1">
      <c r="H641" s="10"/>
    </row>
    <row r="642" ht="14.25" customHeight="1">
      <c r="H642" s="10"/>
    </row>
    <row r="643" ht="14.25" customHeight="1">
      <c r="H643" s="10"/>
    </row>
    <row r="644" ht="14.25" customHeight="1">
      <c r="H644" s="10"/>
    </row>
    <row r="645" ht="14.25" customHeight="1">
      <c r="H645" s="10"/>
    </row>
    <row r="646" ht="14.25" customHeight="1">
      <c r="H646" s="10"/>
    </row>
    <row r="647" ht="14.25" customHeight="1">
      <c r="H647" s="10"/>
    </row>
    <row r="648" ht="14.25" customHeight="1">
      <c r="H648" s="10"/>
    </row>
    <row r="649" ht="14.25" customHeight="1">
      <c r="H649" s="10"/>
    </row>
    <row r="650" ht="14.25" customHeight="1">
      <c r="H650" s="10"/>
    </row>
    <row r="651" ht="14.25" customHeight="1">
      <c r="H651" s="10"/>
    </row>
    <row r="652" ht="14.25" customHeight="1">
      <c r="H652" s="10"/>
    </row>
    <row r="653" ht="14.25" customHeight="1">
      <c r="H653" s="10"/>
    </row>
    <row r="654" ht="14.25" customHeight="1">
      <c r="H654" s="10"/>
    </row>
    <row r="655" ht="14.25" customHeight="1">
      <c r="H655" s="10"/>
    </row>
    <row r="656" ht="14.25" customHeight="1">
      <c r="H656" s="10"/>
    </row>
    <row r="657" ht="14.25" customHeight="1">
      <c r="H657" s="10"/>
    </row>
    <row r="658" ht="14.25" customHeight="1">
      <c r="H658" s="10"/>
    </row>
    <row r="659" ht="14.25" customHeight="1">
      <c r="H659" s="10"/>
    </row>
    <row r="660" ht="14.25" customHeight="1">
      <c r="H660" s="10"/>
    </row>
    <row r="661" ht="14.25" customHeight="1">
      <c r="H661" s="10"/>
    </row>
    <row r="662" ht="14.25" customHeight="1">
      <c r="H662" s="10"/>
    </row>
    <row r="663" ht="14.25" customHeight="1">
      <c r="H663" s="10"/>
    </row>
    <row r="664" ht="14.25" customHeight="1">
      <c r="H664" s="10"/>
    </row>
    <row r="665" ht="14.25" customHeight="1">
      <c r="H665" s="10"/>
    </row>
    <row r="666" ht="14.25" customHeight="1">
      <c r="H666" s="10"/>
    </row>
    <row r="667" ht="14.25" customHeight="1">
      <c r="H667" s="10"/>
    </row>
    <row r="668" ht="14.25" customHeight="1">
      <c r="H668" s="10"/>
    </row>
    <row r="669" ht="14.25" customHeight="1">
      <c r="H669" s="10"/>
    </row>
    <row r="670" ht="14.25" customHeight="1">
      <c r="H670" s="10"/>
    </row>
    <row r="671" ht="14.25" customHeight="1">
      <c r="H671" s="10"/>
    </row>
    <row r="672" ht="14.25" customHeight="1">
      <c r="H672" s="10"/>
    </row>
    <row r="673" ht="14.25" customHeight="1">
      <c r="H673" s="10"/>
    </row>
    <row r="674" ht="14.25" customHeight="1">
      <c r="H674" s="10"/>
    </row>
    <row r="675" ht="14.25" customHeight="1">
      <c r="H675" s="10"/>
    </row>
    <row r="676" ht="14.25" customHeight="1">
      <c r="H676" s="10"/>
    </row>
    <row r="677" ht="14.25" customHeight="1">
      <c r="H677" s="10"/>
    </row>
    <row r="678" ht="14.25" customHeight="1">
      <c r="H678" s="10"/>
    </row>
    <row r="679" ht="14.25" customHeight="1">
      <c r="H679" s="10"/>
    </row>
    <row r="680" ht="14.25" customHeight="1">
      <c r="H680" s="10"/>
    </row>
    <row r="681" ht="14.25" customHeight="1">
      <c r="H681" s="10"/>
    </row>
    <row r="682" ht="14.25" customHeight="1">
      <c r="H682" s="10"/>
    </row>
    <row r="683" ht="14.25" customHeight="1">
      <c r="H683" s="10"/>
    </row>
    <row r="684" ht="14.25" customHeight="1">
      <c r="H684" s="10"/>
    </row>
    <row r="685" ht="14.25" customHeight="1">
      <c r="H685" s="10"/>
    </row>
    <row r="686" ht="14.25" customHeight="1">
      <c r="H686" s="10"/>
    </row>
    <row r="687" ht="14.25" customHeight="1">
      <c r="H687" s="10"/>
    </row>
    <row r="688" ht="14.25" customHeight="1">
      <c r="H688" s="10"/>
    </row>
    <row r="689" ht="14.25" customHeight="1">
      <c r="H689" s="10"/>
    </row>
    <row r="690" ht="14.25" customHeight="1">
      <c r="H690" s="10"/>
    </row>
    <row r="691" ht="14.25" customHeight="1">
      <c r="H691" s="10"/>
    </row>
    <row r="692" ht="14.25" customHeight="1">
      <c r="H692" s="10"/>
    </row>
    <row r="693" ht="14.25" customHeight="1">
      <c r="H693" s="10"/>
    </row>
    <row r="694" ht="14.25" customHeight="1">
      <c r="H694" s="10"/>
    </row>
    <row r="695" ht="14.25" customHeight="1">
      <c r="H695" s="10"/>
    </row>
    <row r="696" ht="14.25" customHeight="1">
      <c r="H696" s="10"/>
    </row>
    <row r="697" ht="14.25" customHeight="1">
      <c r="H697" s="10"/>
    </row>
    <row r="698" ht="14.25" customHeight="1">
      <c r="H698" s="10"/>
    </row>
    <row r="699" ht="14.25" customHeight="1">
      <c r="H699" s="10"/>
    </row>
    <row r="700" ht="14.25" customHeight="1">
      <c r="H700" s="10"/>
    </row>
    <row r="701" ht="14.25" customHeight="1">
      <c r="H701" s="10"/>
    </row>
    <row r="702" ht="14.25" customHeight="1">
      <c r="H702" s="10"/>
    </row>
    <row r="703" ht="14.25" customHeight="1">
      <c r="H703" s="10"/>
    </row>
    <row r="704" ht="14.25" customHeight="1">
      <c r="H704" s="10"/>
    </row>
    <row r="705" ht="14.25" customHeight="1">
      <c r="H705" s="10"/>
    </row>
    <row r="706" ht="14.25" customHeight="1">
      <c r="H706" s="10"/>
    </row>
    <row r="707" ht="14.25" customHeight="1">
      <c r="H707" s="10"/>
    </row>
    <row r="708" ht="14.25" customHeight="1">
      <c r="H708" s="10"/>
    </row>
    <row r="709" ht="14.25" customHeight="1">
      <c r="H709" s="10"/>
    </row>
    <row r="710" ht="14.25" customHeight="1">
      <c r="H710" s="10"/>
    </row>
    <row r="711" ht="14.25" customHeight="1">
      <c r="H711" s="10"/>
    </row>
    <row r="712" ht="14.25" customHeight="1">
      <c r="H712" s="10"/>
    </row>
    <row r="713" ht="14.25" customHeight="1">
      <c r="H713" s="10"/>
    </row>
    <row r="714" ht="14.25" customHeight="1">
      <c r="H714" s="10"/>
    </row>
    <row r="715" ht="14.25" customHeight="1">
      <c r="H715" s="10"/>
    </row>
    <row r="716" ht="14.25" customHeight="1">
      <c r="H716" s="10"/>
    </row>
    <row r="717" ht="14.25" customHeight="1">
      <c r="H717" s="10"/>
    </row>
    <row r="718" ht="14.25" customHeight="1">
      <c r="H718" s="10"/>
    </row>
    <row r="719" ht="14.25" customHeight="1">
      <c r="H719" s="10"/>
    </row>
    <row r="720" ht="14.25" customHeight="1">
      <c r="H720" s="10"/>
    </row>
    <row r="721" ht="14.25" customHeight="1">
      <c r="H721" s="10"/>
    </row>
    <row r="722" ht="14.25" customHeight="1">
      <c r="H722" s="10"/>
    </row>
    <row r="723" ht="14.25" customHeight="1">
      <c r="H723" s="10"/>
    </row>
    <row r="724" ht="14.25" customHeight="1">
      <c r="H724" s="10"/>
    </row>
    <row r="725" ht="14.25" customHeight="1">
      <c r="H725" s="10"/>
    </row>
    <row r="726" ht="14.25" customHeight="1">
      <c r="H726" s="10"/>
    </row>
    <row r="727" ht="14.25" customHeight="1">
      <c r="H727" s="10"/>
    </row>
    <row r="728" ht="14.25" customHeight="1">
      <c r="H728" s="10"/>
    </row>
    <row r="729" ht="14.25" customHeight="1">
      <c r="H729" s="10"/>
    </row>
    <row r="730" ht="14.25" customHeight="1">
      <c r="H730" s="10"/>
    </row>
    <row r="731" ht="14.25" customHeight="1">
      <c r="H731" s="10"/>
    </row>
    <row r="732" ht="14.25" customHeight="1">
      <c r="H732" s="10"/>
    </row>
    <row r="733" ht="14.25" customHeight="1">
      <c r="H733" s="10"/>
    </row>
    <row r="734" ht="14.25" customHeight="1">
      <c r="H734" s="10"/>
    </row>
    <row r="735" ht="14.25" customHeight="1">
      <c r="H735" s="10"/>
    </row>
    <row r="736" ht="14.25" customHeight="1">
      <c r="H736" s="10"/>
    </row>
    <row r="737" ht="14.25" customHeight="1">
      <c r="H737" s="10"/>
    </row>
    <row r="738" ht="14.25" customHeight="1">
      <c r="H738" s="10"/>
    </row>
    <row r="739" ht="14.25" customHeight="1">
      <c r="H739" s="10"/>
    </row>
    <row r="740" ht="14.25" customHeight="1">
      <c r="H740" s="10"/>
    </row>
    <row r="741" ht="14.25" customHeight="1">
      <c r="H741" s="10"/>
    </row>
    <row r="742" ht="14.25" customHeight="1">
      <c r="H742" s="10"/>
    </row>
    <row r="743" ht="14.25" customHeight="1">
      <c r="H743" s="10"/>
    </row>
    <row r="744" ht="14.25" customHeight="1">
      <c r="H744" s="10"/>
    </row>
    <row r="745" ht="14.25" customHeight="1">
      <c r="H745" s="10"/>
    </row>
    <row r="746" ht="14.25" customHeight="1">
      <c r="H746" s="10"/>
    </row>
    <row r="747" ht="14.25" customHeight="1">
      <c r="H747" s="10"/>
    </row>
    <row r="748" ht="14.25" customHeight="1">
      <c r="H748" s="10"/>
    </row>
    <row r="749" ht="14.25" customHeight="1">
      <c r="H749" s="10"/>
    </row>
    <row r="750" ht="14.25" customHeight="1">
      <c r="H750" s="10"/>
    </row>
    <row r="751" ht="14.25" customHeight="1">
      <c r="H751" s="10"/>
    </row>
    <row r="752" ht="14.25" customHeight="1">
      <c r="H752" s="10"/>
    </row>
    <row r="753" ht="14.25" customHeight="1">
      <c r="H753" s="10"/>
    </row>
    <row r="754" ht="14.25" customHeight="1">
      <c r="H754" s="10"/>
    </row>
    <row r="755" ht="14.25" customHeight="1">
      <c r="H755" s="10"/>
    </row>
    <row r="756" ht="14.25" customHeight="1">
      <c r="H756" s="10"/>
    </row>
    <row r="757" ht="14.25" customHeight="1">
      <c r="H757" s="10"/>
    </row>
    <row r="758" ht="14.25" customHeight="1">
      <c r="H758" s="10"/>
    </row>
    <row r="759" ht="14.25" customHeight="1">
      <c r="H759" s="10"/>
    </row>
    <row r="760" ht="14.25" customHeight="1">
      <c r="H760" s="10"/>
    </row>
    <row r="761" ht="14.25" customHeight="1">
      <c r="H761" s="10"/>
    </row>
    <row r="762" ht="14.25" customHeight="1">
      <c r="H762" s="10"/>
    </row>
    <row r="763" ht="14.25" customHeight="1">
      <c r="H763" s="10"/>
    </row>
    <row r="764" ht="14.25" customHeight="1">
      <c r="H764" s="10"/>
    </row>
    <row r="765" ht="14.25" customHeight="1">
      <c r="H765" s="10"/>
    </row>
    <row r="766" ht="14.25" customHeight="1">
      <c r="H766" s="10"/>
    </row>
    <row r="767" ht="14.25" customHeight="1">
      <c r="H767" s="10"/>
    </row>
    <row r="768" ht="14.25" customHeight="1">
      <c r="H768" s="10"/>
    </row>
    <row r="769" ht="14.25" customHeight="1">
      <c r="H769" s="10"/>
    </row>
    <row r="770" ht="14.25" customHeight="1">
      <c r="H770" s="10"/>
    </row>
    <row r="771" ht="14.25" customHeight="1">
      <c r="H771" s="10"/>
    </row>
    <row r="772" ht="14.25" customHeight="1">
      <c r="H772" s="10"/>
    </row>
    <row r="773" ht="14.25" customHeight="1">
      <c r="H773" s="10"/>
    </row>
    <row r="774" ht="14.25" customHeight="1">
      <c r="H774" s="10"/>
    </row>
    <row r="775" ht="14.25" customHeight="1">
      <c r="H775" s="10"/>
    </row>
    <row r="776" ht="14.25" customHeight="1">
      <c r="H776" s="10"/>
    </row>
    <row r="777" ht="14.25" customHeight="1">
      <c r="H777" s="10"/>
    </row>
    <row r="778" ht="14.25" customHeight="1">
      <c r="H778" s="10"/>
    </row>
    <row r="779" ht="14.25" customHeight="1">
      <c r="H779" s="10"/>
    </row>
    <row r="780" ht="14.25" customHeight="1">
      <c r="H780" s="10"/>
    </row>
    <row r="781" ht="14.25" customHeight="1">
      <c r="H781" s="10"/>
    </row>
    <row r="782" ht="14.25" customHeight="1">
      <c r="H782" s="10"/>
    </row>
    <row r="783" ht="14.25" customHeight="1">
      <c r="H783" s="10"/>
    </row>
    <row r="784" ht="14.25" customHeight="1">
      <c r="H784" s="10"/>
    </row>
    <row r="785" ht="14.25" customHeight="1">
      <c r="H785" s="10"/>
    </row>
    <row r="786" ht="14.25" customHeight="1">
      <c r="H786" s="10"/>
    </row>
    <row r="787" ht="14.25" customHeight="1">
      <c r="H787" s="10"/>
    </row>
    <row r="788" ht="14.25" customHeight="1">
      <c r="H788" s="10"/>
    </row>
    <row r="789" ht="14.25" customHeight="1">
      <c r="H789" s="10"/>
    </row>
    <row r="790" ht="14.25" customHeight="1">
      <c r="H790" s="10"/>
    </row>
    <row r="791" ht="14.25" customHeight="1">
      <c r="H791" s="10"/>
    </row>
    <row r="792" ht="14.25" customHeight="1">
      <c r="H792" s="10"/>
    </row>
    <row r="793" ht="14.25" customHeight="1">
      <c r="H793" s="10"/>
    </row>
    <row r="794" ht="14.25" customHeight="1">
      <c r="H794" s="10"/>
    </row>
    <row r="795" ht="14.25" customHeight="1">
      <c r="H795" s="10"/>
    </row>
    <row r="796" ht="14.25" customHeight="1">
      <c r="H796" s="10"/>
    </row>
    <row r="797" ht="14.25" customHeight="1">
      <c r="H797" s="10"/>
    </row>
    <row r="798" ht="14.25" customHeight="1">
      <c r="H798" s="10"/>
    </row>
    <row r="799" ht="14.25" customHeight="1">
      <c r="H799" s="10"/>
    </row>
    <row r="800" ht="14.25" customHeight="1">
      <c r="H800" s="10"/>
    </row>
    <row r="801" ht="14.25" customHeight="1">
      <c r="H801" s="10"/>
    </row>
    <row r="802" ht="14.25" customHeight="1">
      <c r="H802" s="10"/>
    </row>
    <row r="803" ht="14.25" customHeight="1">
      <c r="H803" s="10"/>
    </row>
    <row r="804" ht="14.25" customHeight="1">
      <c r="H804" s="10"/>
    </row>
    <row r="805" ht="14.25" customHeight="1">
      <c r="H805" s="10"/>
    </row>
    <row r="806" ht="14.25" customHeight="1">
      <c r="H806" s="10"/>
    </row>
    <row r="807" ht="14.25" customHeight="1">
      <c r="H807" s="10"/>
    </row>
    <row r="808" ht="14.25" customHeight="1">
      <c r="H808" s="10"/>
    </row>
    <row r="809" ht="14.25" customHeight="1">
      <c r="H809" s="10"/>
    </row>
    <row r="810" ht="14.25" customHeight="1">
      <c r="H810" s="10"/>
    </row>
    <row r="811" ht="14.25" customHeight="1">
      <c r="H811" s="10"/>
    </row>
    <row r="812" ht="14.25" customHeight="1">
      <c r="H812" s="10"/>
    </row>
    <row r="813" ht="14.25" customHeight="1">
      <c r="H813" s="10"/>
    </row>
    <row r="814" ht="14.25" customHeight="1">
      <c r="H814" s="10"/>
    </row>
    <row r="815" ht="14.25" customHeight="1">
      <c r="H815" s="10"/>
    </row>
    <row r="816" ht="14.25" customHeight="1">
      <c r="H816" s="10"/>
    </row>
    <row r="817" ht="14.25" customHeight="1">
      <c r="H817" s="10"/>
    </row>
    <row r="818" ht="14.25" customHeight="1">
      <c r="H818" s="10"/>
    </row>
    <row r="819" ht="14.25" customHeight="1">
      <c r="H819" s="10"/>
    </row>
    <row r="820" ht="14.25" customHeight="1">
      <c r="H820" s="10"/>
    </row>
    <row r="821" ht="14.25" customHeight="1">
      <c r="H821" s="10"/>
    </row>
    <row r="822" ht="14.25" customHeight="1">
      <c r="H822" s="10"/>
    </row>
    <row r="823" ht="14.25" customHeight="1">
      <c r="H823" s="10"/>
    </row>
    <row r="824" ht="14.25" customHeight="1">
      <c r="H824" s="10"/>
    </row>
    <row r="825" ht="14.25" customHeight="1">
      <c r="H825" s="10"/>
    </row>
    <row r="826" ht="14.25" customHeight="1">
      <c r="H826" s="10"/>
    </row>
    <row r="827" ht="14.25" customHeight="1">
      <c r="H827" s="10"/>
    </row>
    <row r="828" ht="14.25" customHeight="1">
      <c r="H828" s="10"/>
    </row>
    <row r="829" ht="14.25" customHeight="1">
      <c r="H829" s="10"/>
    </row>
    <row r="830" ht="14.25" customHeight="1">
      <c r="H830" s="10"/>
    </row>
    <row r="831" ht="14.25" customHeight="1">
      <c r="H831" s="10"/>
    </row>
    <row r="832" ht="14.25" customHeight="1">
      <c r="H832" s="10"/>
    </row>
    <row r="833" ht="14.25" customHeight="1">
      <c r="H833" s="10"/>
    </row>
    <row r="834" ht="14.25" customHeight="1">
      <c r="H834" s="10"/>
    </row>
    <row r="835" ht="14.25" customHeight="1">
      <c r="H835" s="10"/>
    </row>
    <row r="836" ht="14.25" customHeight="1">
      <c r="H836" s="10"/>
    </row>
    <row r="837" ht="14.25" customHeight="1">
      <c r="H837" s="10"/>
    </row>
    <row r="838" ht="14.25" customHeight="1">
      <c r="H838" s="10"/>
    </row>
    <row r="839" ht="14.25" customHeight="1">
      <c r="H839" s="10"/>
    </row>
    <row r="840" ht="14.25" customHeight="1">
      <c r="H840" s="10"/>
    </row>
    <row r="841" ht="14.25" customHeight="1">
      <c r="H841" s="10"/>
    </row>
    <row r="842" ht="14.25" customHeight="1">
      <c r="H842" s="10"/>
    </row>
    <row r="843" ht="14.25" customHeight="1">
      <c r="H843" s="10"/>
    </row>
    <row r="844" ht="14.25" customHeight="1">
      <c r="H844" s="10"/>
    </row>
    <row r="845" ht="14.25" customHeight="1">
      <c r="H845" s="10"/>
    </row>
    <row r="846" ht="14.25" customHeight="1">
      <c r="H846" s="10"/>
    </row>
    <row r="847" ht="14.25" customHeight="1">
      <c r="H847" s="10"/>
    </row>
    <row r="848" ht="14.25" customHeight="1">
      <c r="H848" s="10"/>
    </row>
    <row r="849" ht="14.25" customHeight="1">
      <c r="H849" s="10"/>
    </row>
    <row r="850" ht="14.25" customHeight="1">
      <c r="H850" s="10"/>
    </row>
    <row r="851" ht="14.25" customHeight="1">
      <c r="H851" s="10"/>
    </row>
    <row r="852" ht="14.25" customHeight="1">
      <c r="H852" s="10"/>
    </row>
    <row r="853" ht="14.25" customHeight="1">
      <c r="H853" s="10"/>
    </row>
    <row r="854" ht="14.25" customHeight="1">
      <c r="H854" s="10"/>
    </row>
    <row r="855" ht="14.25" customHeight="1">
      <c r="H855" s="10"/>
    </row>
    <row r="856" ht="14.25" customHeight="1">
      <c r="H856" s="10"/>
    </row>
    <row r="857" ht="14.25" customHeight="1">
      <c r="H857" s="10"/>
    </row>
    <row r="858" ht="14.25" customHeight="1">
      <c r="H858" s="10"/>
    </row>
    <row r="859" ht="14.25" customHeight="1">
      <c r="H859" s="10"/>
    </row>
    <row r="860" ht="14.25" customHeight="1">
      <c r="H860" s="10"/>
    </row>
    <row r="861" ht="14.25" customHeight="1">
      <c r="H861" s="10"/>
    </row>
    <row r="862" ht="14.25" customHeight="1">
      <c r="H862" s="10"/>
    </row>
    <row r="863" ht="14.25" customHeight="1">
      <c r="H863" s="10"/>
    </row>
    <row r="864" ht="14.25" customHeight="1">
      <c r="H864" s="10"/>
    </row>
    <row r="865" ht="14.25" customHeight="1">
      <c r="H865" s="10"/>
    </row>
    <row r="866" ht="14.25" customHeight="1">
      <c r="H866" s="10"/>
    </row>
    <row r="867" ht="14.25" customHeight="1">
      <c r="H867" s="10"/>
    </row>
    <row r="868" ht="14.25" customHeight="1">
      <c r="H868" s="10"/>
    </row>
    <row r="869" ht="14.25" customHeight="1">
      <c r="H869" s="10"/>
    </row>
    <row r="870" ht="14.25" customHeight="1">
      <c r="H870" s="10"/>
    </row>
    <row r="871" ht="14.25" customHeight="1">
      <c r="H871" s="10"/>
    </row>
    <row r="872" ht="14.25" customHeight="1">
      <c r="H872" s="10"/>
    </row>
    <row r="873" ht="14.25" customHeight="1">
      <c r="H873" s="10"/>
    </row>
    <row r="874" ht="14.25" customHeight="1">
      <c r="H874" s="10"/>
    </row>
    <row r="875" ht="14.25" customHeight="1">
      <c r="H875" s="10"/>
    </row>
    <row r="876" ht="14.25" customHeight="1">
      <c r="H876" s="10"/>
    </row>
    <row r="877" ht="14.25" customHeight="1">
      <c r="H877" s="10"/>
    </row>
    <row r="878" ht="14.25" customHeight="1">
      <c r="H878" s="10"/>
    </row>
    <row r="879" ht="14.25" customHeight="1">
      <c r="H879" s="10"/>
    </row>
    <row r="880" ht="14.25" customHeight="1">
      <c r="H880" s="10"/>
    </row>
    <row r="881" ht="14.25" customHeight="1">
      <c r="H881" s="10"/>
    </row>
    <row r="882" ht="14.25" customHeight="1">
      <c r="H882" s="10"/>
    </row>
    <row r="883" ht="14.25" customHeight="1">
      <c r="H883" s="10"/>
    </row>
    <row r="884" ht="14.25" customHeight="1">
      <c r="H884" s="10"/>
    </row>
    <row r="885" ht="14.25" customHeight="1">
      <c r="H885" s="10"/>
    </row>
    <row r="886" ht="14.25" customHeight="1">
      <c r="H886" s="10"/>
    </row>
    <row r="887" ht="14.25" customHeight="1">
      <c r="H887" s="10"/>
    </row>
    <row r="888" ht="14.25" customHeight="1">
      <c r="H888" s="10"/>
    </row>
    <row r="889" ht="14.25" customHeight="1">
      <c r="H889" s="10"/>
    </row>
    <row r="890" ht="14.25" customHeight="1">
      <c r="H890" s="10"/>
    </row>
    <row r="891" ht="14.25" customHeight="1">
      <c r="H891" s="10"/>
    </row>
    <row r="892" ht="14.25" customHeight="1">
      <c r="H892" s="10"/>
    </row>
    <row r="893" ht="14.25" customHeight="1">
      <c r="H893" s="10"/>
    </row>
    <row r="894" ht="14.25" customHeight="1">
      <c r="H894" s="10"/>
    </row>
    <row r="895" ht="14.25" customHeight="1">
      <c r="H895" s="10"/>
    </row>
    <row r="896" ht="14.25" customHeight="1">
      <c r="H896" s="10"/>
    </row>
    <row r="897" ht="14.25" customHeight="1">
      <c r="H897" s="10"/>
    </row>
    <row r="898" ht="14.25" customHeight="1">
      <c r="H898" s="10"/>
    </row>
    <row r="899" ht="14.25" customHeight="1">
      <c r="H899" s="10"/>
    </row>
    <row r="900" ht="14.25" customHeight="1">
      <c r="H900" s="10"/>
    </row>
    <row r="901" ht="14.25" customHeight="1">
      <c r="H901" s="10"/>
    </row>
    <row r="902" ht="14.25" customHeight="1">
      <c r="H902" s="10"/>
    </row>
    <row r="903" ht="14.25" customHeight="1">
      <c r="H903" s="10"/>
    </row>
    <row r="904" ht="14.25" customHeight="1">
      <c r="H904" s="10"/>
    </row>
    <row r="905" ht="14.25" customHeight="1">
      <c r="H905" s="10"/>
    </row>
    <row r="906" ht="14.25" customHeight="1">
      <c r="H906" s="10"/>
    </row>
    <row r="907" ht="14.25" customHeight="1">
      <c r="H907" s="10"/>
    </row>
    <row r="908" ht="14.25" customHeight="1">
      <c r="H908" s="10"/>
    </row>
    <row r="909" ht="14.25" customHeight="1">
      <c r="H909" s="10"/>
    </row>
    <row r="910" ht="14.25" customHeight="1">
      <c r="H910" s="10"/>
    </row>
    <row r="911" ht="14.25" customHeight="1">
      <c r="H911" s="10"/>
    </row>
    <row r="912" ht="14.25" customHeight="1">
      <c r="H912" s="10"/>
    </row>
    <row r="913" ht="14.25" customHeight="1">
      <c r="H913" s="10"/>
    </row>
    <row r="914" ht="14.25" customHeight="1">
      <c r="H914" s="10"/>
    </row>
    <row r="915" ht="14.25" customHeight="1">
      <c r="H915" s="10"/>
    </row>
    <row r="916" ht="14.25" customHeight="1">
      <c r="H916" s="10"/>
    </row>
    <row r="917" ht="14.25" customHeight="1">
      <c r="H917" s="10"/>
    </row>
    <row r="918" ht="14.25" customHeight="1">
      <c r="H918" s="10"/>
    </row>
    <row r="919" ht="14.25" customHeight="1">
      <c r="H919" s="10"/>
    </row>
    <row r="920" ht="14.25" customHeight="1">
      <c r="H920" s="10"/>
    </row>
    <row r="921" ht="14.25" customHeight="1">
      <c r="H921" s="10"/>
    </row>
    <row r="922" ht="14.25" customHeight="1">
      <c r="H922" s="10"/>
    </row>
    <row r="923" ht="14.25" customHeight="1">
      <c r="H923" s="10"/>
    </row>
    <row r="924" ht="14.25" customHeight="1">
      <c r="H924" s="10"/>
    </row>
    <row r="925" ht="14.25" customHeight="1">
      <c r="H925" s="10"/>
    </row>
    <row r="926" ht="14.25" customHeight="1">
      <c r="H926" s="10"/>
    </row>
    <row r="927" ht="14.25" customHeight="1">
      <c r="H927" s="10"/>
    </row>
    <row r="928" ht="14.25" customHeight="1">
      <c r="H928" s="10"/>
    </row>
    <row r="929" ht="14.25" customHeight="1">
      <c r="H929" s="10"/>
    </row>
    <row r="930" ht="14.25" customHeight="1">
      <c r="H930" s="10"/>
    </row>
    <row r="931" ht="14.25" customHeight="1">
      <c r="H931" s="10"/>
    </row>
    <row r="932" ht="14.25" customHeight="1">
      <c r="H932" s="10"/>
    </row>
    <row r="933" ht="14.25" customHeight="1">
      <c r="H933" s="10"/>
    </row>
    <row r="934" ht="14.25" customHeight="1">
      <c r="H934" s="10"/>
    </row>
    <row r="935" ht="14.25" customHeight="1">
      <c r="H935" s="10"/>
    </row>
    <row r="936" ht="14.25" customHeight="1">
      <c r="H936" s="10"/>
    </row>
    <row r="937" ht="14.25" customHeight="1">
      <c r="H937" s="10"/>
    </row>
    <row r="938" ht="14.25" customHeight="1">
      <c r="H938" s="10"/>
    </row>
    <row r="939" ht="14.25" customHeight="1">
      <c r="H939" s="10"/>
    </row>
    <row r="940" ht="14.25" customHeight="1">
      <c r="H940" s="10"/>
    </row>
    <row r="941" ht="14.25" customHeight="1">
      <c r="H941" s="10"/>
    </row>
    <row r="942" ht="14.25" customHeight="1">
      <c r="H942" s="10"/>
    </row>
    <row r="943" ht="14.25" customHeight="1">
      <c r="H943" s="10"/>
    </row>
    <row r="944" ht="14.25" customHeight="1">
      <c r="H944" s="10"/>
    </row>
    <row r="945" ht="14.25" customHeight="1">
      <c r="H945" s="10"/>
    </row>
    <row r="946" ht="14.25" customHeight="1">
      <c r="H946" s="10"/>
    </row>
    <row r="947" ht="14.25" customHeight="1">
      <c r="H947" s="10"/>
    </row>
    <row r="948" ht="14.25" customHeight="1">
      <c r="H948" s="10"/>
    </row>
    <row r="949" ht="14.25" customHeight="1">
      <c r="H949" s="10"/>
    </row>
    <row r="950" ht="14.25" customHeight="1">
      <c r="H950" s="10"/>
    </row>
    <row r="951" ht="14.25" customHeight="1">
      <c r="H951" s="10"/>
    </row>
    <row r="952" ht="14.25" customHeight="1">
      <c r="H952" s="10"/>
    </row>
    <row r="953" ht="14.25" customHeight="1">
      <c r="H953" s="10"/>
    </row>
    <row r="954" ht="14.25" customHeight="1">
      <c r="H954" s="10"/>
    </row>
    <row r="955" ht="14.25" customHeight="1">
      <c r="H955" s="10"/>
    </row>
    <row r="956" ht="14.25" customHeight="1">
      <c r="H956" s="10"/>
    </row>
    <row r="957" ht="14.25" customHeight="1">
      <c r="H957" s="10"/>
    </row>
    <row r="958" ht="14.25" customHeight="1">
      <c r="H958" s="10"/>
    </row>
    <row r="959" ht="14.25" customHeight="1">
      <c r="H959" s="10"/>
    </row>
    <row r="960" ht="14.25" customHeight="1">
      <c r="H960" s="10"/>
    </row>
    <row r="961" ht="14.25" customHeight="1">
      <c r="H961" s="10"/>
    </row>
    <row r="962" ht="14.25" customHeight="1">
      <c r="H962" s="10"/>
    </row>
    <row r="963" ht="14.25" customHeight="1">
      <c r="H963" s="10"/>
    </row>
    <row r="964" ht="14.25" customHeight="1">
      <c r="H964" s="10"/>
    </row>
    <row r="965" ht="14.25" customHeight="1">
      <c r="H965" s="10"/>
    </row>
    <row r="966" ht="14.25" customHeight="1">
      <c r="H966" s="10"/>
    </row>
    <row r="967" ht="14.25" customHeight="1">
      <c r="H967" s="10"/>
    </row>
    <row r="968" ht="14.25" customHeight="1">
      <c r="H968" s="10"/>
    </row>
    <row r="969" ht="14.25" customHeight="1">
      <c r="H969" s="10"/>
    </row>
    <row r="970" ht="14.25" customHeight="1">
      <c r="H970" s="10"/>
    </row>
    <row r="971" ht="14.25" customHeight="1">
      <c r="H971" s="10"/>
    </row>
    <row r="972" ht="14.25" customHeight="1">
      <c r="H972" s="10"/>
    </row>
    <row r="973" ht="14.25" customHeight="1">
      <c r="H973" s="10"/>
    </row>
    <row r="974" ht="14.25" customHeight="1">
      <c r="H974" s="10"/>
    </row>
    <row r="975" ht="14.25" customHeight="1">
      <c r="H975" s="10"/>
    </row>
    <row r="976" ht="14.25" customHeight="1">
      <c r="H976" s="10"/>
    </row>
    <row r="977" ht="14.25" customHeight="1">
      <c r="H977" s="10"/>
    </row>
    <row r="978" ht="14.25" customHeight="1">
      <c r="H978" s="10"/>
    </row>
    <row r="979" ht="14.25" customHeight="1">
      <c r="H979" s="10"/>
    </row>
    <row r="980" ht="14.25" customHeight="1">
      <c r="H980" s="10"/>
    </row>
    <row r="981" ht="14.25" customHeight="1">
      <c r="H981" s="10"/>
    </row>
    <row r="982" ht="14.25" customHeight="1">
      <c r="H982" s="10"/>
    </row>
    <row r="983" ht="14.25" customHeight="1">
      <c r="H983" s="10"/>
    </row>
    <row r="984" ht="14.25" customHeight="1">
      <c r="H984" s="10"/>
    </row>
    <row r="985" ht="14.25" customHeight="1">
      <c r="H985" s="10"/>
    </row>
    <row r="986" ht="14.25" customHeight="1">
      <c r="H986" s="10"/>
    </row>
    <row r="987" ht="14.25" customHeight="1">
      <c r="H987" s="10"/>
    </row>
    <row r="988" ht="14.25" customHeight="1">
      <c r="H988" s="10"/>
    </row>
    <row r="989" ht="14.25" customHeight="1">
      <c r="H989" s="10"/>
    </row>
    <row r="990" ht="14.25" customHeight="1">
      <c r="H990" s="10"/>
    </row>
    <row r="991" ht="14.25" customHeight="1">
      <c r="H991" s="10"/>
    </row>
    <row r="992" ht="14.25" customHeight="1">
      <c r="H992" s="10"/>
    </row>
    <row r="993" ht="14.25" customHeight="1">
      <c r="H993" s="10"/>
    </row>
    <row r="994" ht="14.25" customHeight="1">
      <c r="H994" s="10"/>
    </row>
    <row r="995" ht="14.25" customHeight="1">
      <c r="H995" s="10"/>
    </row>
    <row r="996" ht="14.25" customHeight="1">
      <c r="H996" s="10"/>
    </row>
    <row r="997" ht="14.25" customHeight="1">
      <c r="H997" s="10"/>
    </row>
    <row r="998" ht="14.25" customHeight="1">
      <c r="H998" s="10"/>
    </row>
    <row r="999" ht="14.25" customHeight="1">
      <c r="H999" s="10"/>
    </row>
    <row r="1000" ht="14.25" customHeight="1">
      <c r="H1000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14"/>
    <col customWidth="1" min="2" max="2" width="10.71"/>
    <col customWidth="1" min="3" max="4" width="14.29"/>
    <col customWidth="1" min="5" max="5" width="13.57"/>
    <col customWidth="1" min="6" max="6" width="10.71"/>
    <col customWidth="1" min="7" max="7" width="20.29"/>
    <col customWidth="1" min="8" max="8" width="19.86"/>
    <col customWidth="1" min="9" max="9" width="68.43"/>
    <col customWidth="1" min="10" max="10" width="31.71"/>
    <col customWidth="1" min="11" max="26" width="10.71"/>
  </cols>
  <sheetData>
    <row r="1" ht="14.25" customHeight="1">
      <c r="A1" s="1" t="s">
        <v>8</v>
      </c>
      <c r="B1" s="1" t="s">
        <v>14</v>
      </c>
      <c r="C1" s="1" t="s">
        <v>19</v>
      </c>
      <c r="D1" s="1" t="s">
        <v>23</v>
      </c>
      <c r="E1" s="1" t="s">
        <v>26</v>
      </c>
      <c r="F1" s="1" t="s">
        <v>30</v>
      </c>
      <c r="G1" s="1" t="s">
        <v>33</v>
      </c>
      <c r="H1" s="1" t="s">
        <v>37</v>
      </c>
      <c r="I1" s="1" t="s">
        <v>40</v>
      </c>
      <c r="J1" s="1" t="s">
        <v>42</v>
      </c>
    </row>
    <row r="2" ht="14.25" customHeight="1">
      <c r="A2" s="2" t="s">
        <v>45</v>
      </c>
      <c r="B2" s="4">
        <v>100.0</v>
      </c>
      <c r="C2" s="2">
        <v>64.0</v>
      </c>
      <c r="D2" s="2">
        <v>0.95</v>
      </c>
      <c r="E2" s="2">
        <v>0.9</v>
      </c>
      <c r="F2" s="2">
        <v>1.0</v>
      </c>
      <c r="G2" s="2">
        <f t="shared" ref="G2:G3" si="1">(C2-C2*D2*E2*F2)/20*B2</f>
        <v>46.4</v>
      </c>
      <c r="H2" s="2">
        <f t="shared" ref="H2:H3" si="2">G2*44/12</f>
        <v>170.1333333</v>
      </c>
      <c r="I2" s="2" t="s">
        <v>76</v>
      </c>
      <c r="J2" s="2" t="s">
        <v>79</v>
      </c>
    </row>
    <row r="3" ht="14.25" customHeight="1">
      <c r="A3" s="2" t="s">
        <v>81</v>
      </c>
      <c r="B3" s="4">
        <v>120.0</v>
      </c>
      <c r="C3" s="2">
        <v>64.0</v>
      </c>
      <c r="D3" s="2">
        <v>0.8</v>
      </c>
      <c r="E3" s="2">
        <v>0.8</v>
      </c>
      <c r="F3" s="2">
        <v>0.9</v>
      </c>
      <c r="G3" s="2">
        <f t="shared" si="1"/>
        <v>162.816</v>
      </c>
      <c r="H3" s="2">
        <f t="shared" si="2"/>
        <v>596.992</v>
      </c>
      <c r="I3" s="2" t="s">
        <v>76</v>
      </c>
      <c r="J3" s="2" t="s">
        <v>79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3.14"/>
    <col customWidth="1" min="3" max="3" width="15.29"/>
    <col customWidth="1" min="4" max="4" width="16.43"/>
    <col customWidth="1" min="5" max="5" width="13.57"/>
    <col customWidth="1" min="6" max="7" width="10.71"/>
    <col customWidth="1" min="8" max="8" width="22.29"/>
    <col customWidth="1" min="9" max="26" width="10.71"/>
  </cols>
  <sheetData>
    <row r="1" ht="14.25" customHeight="1">
      <c r="A1" s="1" t="s">
        <v>6</v>
      </c>
      <c r="B1" s="1" t="s">
        <v>10</v>
      </c>
      <c r="C1" s="1" t="s">
        <v>12</v>
      </c>
      <c r="D1" s="1" t="s">
        <v>16</v>
      </c>
      <c r="E1" s="1" t="s">
        <v>22</v>
      </c>
      <c r="F1" s="1" t="s">
        <v>27</v>
      </c>
      <c r="G1" s="1" t="s">
        <v>32</v>
      </c>
      <c r="H1" s="3" t="s">
        <v>35</v>
      </c>
      <c r="I1" s="1" t="s">
        <v>5</v>
      </c>
      <c r="J1" s="1" t="s">
        <v>7</v>
      </c>
    </row>
    <row r="2" ht="14.25" customHeight="1">
      <c r="A2" s="2" t="s">
        <v>47</v>
      </c>
      <c r="B2" s="2"/>
      <c r="C2" s="2">
        <v>64.0</v>
      </c>
      <c r="D2" s="2">
        <v>0.95</v>
      </c>
      <c r="E2" s="2">
        <f>0.9*1</f>
        <v>0.9</v>
      </c>
      <c r="F2" s="2">
        <v>1.0</v>
      </c>
      <c r="G2" s="2">
        <f>ABS((B2*C2*D2*E2*F2-B2*C2*D2*E3*F2)/20)</f>
        <v>0</v>
      </c>
      <c r="H2" s="7">
        <f>G2*44/12</f>
        <v>0</v>
      </c>
      <c r="I2" s="8" t="s">
        <v>95</v>
      </c>
      <c r="J2" s="2" t="s">
        <v>61</v>
      </c>
    </row>
    <row r="3" ht="14.25" customHeight="1">
      <c r="A3" s="2" t="s">
        <v>99</v>
      </c>
      <c r="B3" s="2"/>
      <c r="C3" s="2"/>
      <c r="D3" s="2"/>
      <c r="E3" s="2">
        <f>1*1.1</f>
        <v>1.1</v>
      </c>
      <c r="F3" s="2"/>
      <c r="G3" s="2"/>
      <c r="H3" s="5"/>
      <c r="I3" s="2"/>
      <c r="J3" s="2"/>
    </row>
    <row r="4" ht="14.25" customHeight="1"/>
    <row r="5" ht="14.25" customHeight="1">
      <c r="A5" s="9" t="s">
        <v>105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39.14"/>
    <col customWidth="1" min="3" max="3" width="16.57"/>
    <col customWidth="1" min="4" max="4" width="49.0"/>
    <col customWidth="1" min="5" max="5" width="26.0"/>
    <col customWidth="1" min="6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1" t="s">
        <v>122</v>
      </c>
      <c r="E1" s="1" t="s">
        <v>5</v>
      </c>
      <c r="F1" s="12" t="s">
        <v>7</v>
      </c>
    </row>
    <row r="2" ht="14.25" customHeight="1">
      <c r="A2" s="2" t="s">
        <v>123</v>
      </c>
      <c r="B2" s="2" t="s">
        <v>124</v>
      </c>
      <c r="C2" s="2" t="s">
        <v>125</v>
      </c>
      <c r="D2" s="2" t="s">
        <v>126</v>
      </c>
      <c r="E2" s="2" t="s">
        <v>127</v>
      </c>
      <c r="F2" s="13" t="s">
        <v>128</v>
      </c>
    </row>
    <row r="3" ht="14.25" customHeight="1">
      <c r="A3" s="2" t="s">
        <v>123</v>
      </c>
      <c r="B3" s="2" t="s">
        <v>134</v>
      </c>
      <c r="C3" s="2" t="s">
        <v>125</v>
      </c>
      <c r="D3" s="2" t="s">
        <v>126</v>
      </c>
      <c r="E3" s="2" t="s">
        <v>127</v>
      </c>
      <c r="F3" s="13" t="s">
        <v>128</v>
      </c>
    </row>
    <row r="4" ht="14.25" customHeight="1">
      <c r="A4" s="2" t="s">
        <v>123</v>
      </c>
      <c r="B4" s="2" t="s">
        <v>140</v>
      </c>
      <c r="C4" s="2" t="s">
        <v>125</v>
      </c>
      <c r="D4" s="2" t="s">
        <v>142</v>
      </c>
      <c r="E4" s="2" t="s">
        <v>127</v>
      </c>
      <c r="F4" s="13" t="s">
        <v>128</v>
      </c>
    </row>
    <row r="5" ht="14.25" customHeight="1">
      <c r="A5" s="2" t="s">
        <v>123</v>
      </c>
      <c r="B5" s="2" t="s">
        <v>148</v>
      </c>
      <c r="C5" s="2" t="s">
        <v>125</v>
      </c>
      <c r="D5" s="2" t="s">
        <v>152</v>
      </c>
      <c r="E5" s="2" t="s">
        <v>127</v>
      </c>
      <c r="F5" s="13" t="s">
        <v>128</v>
      </c>
    </row>
    <row r="6" ht="14.25" customHeight="1">
      <c r="A6" s="2" t="s">
        <v>123</v>
      </c>
      <c r="B6" s="2" t="s">
        <v>162</v>
      </c>
      <c r="C6" s="2" t="s">
        <v>125</v>
      </c>
      <c r="D6" s="2" t="s">
        <v>167</v>
      </c>
      <c r="E6" s="2" t="s">
        <v>170</v>
      </c>
      <c r="F6" s="13" t="s">
        <v>172</v>
      </c>
    </row>
    <row r="7" ht="14.25" customHeight="1">
      <c r="A7" s="2" t="s">
        <v>123</v>
      </c>
      <c r="B7" s="2" t="s">
        <v>178</v>
      </c>
      <c r="C7" s="2" t="s">
        <v>125</v>
      </c>
      <c r="D7" s="2" t="s">
        <v>180</v>
      </c>
      <c r="E7" s="2" t="s">
        <v>181</v>
      </c>
      <c r="F7" s="13" t="s">
        <v>182</v>
      </c>
    </row>
    <row r="8" ht="14.25" customHeight="1">
      <c r="A8" s="2" t="s">
        <v>123</v>
      </c>
      <c r="B8" s="2" t="s">
        <v>187</v>
      </c>
      <c r="C8" s="2" t="s">
        <v>125</v>
      </c>
      <c r="D8" s="2" t="s">
        <v>188</v>
      </c>
      <c r="E8" s="2" t="s">
        <v>181</v>
      </c>
      <c r="F8" s="13" t="s">
        <v>182</v>
      </c>
    </row>
    <row r="9" ht="14.25" customHeight="1">
      <c r="A9" s="2" t="s">
        <v>123</v>
      </c>
      <c r="B9" s="2" t="s">
        <v>189</v>
      </c>
      <c r="C9" s="2" t="s">
        <v>125</v>
      </c>
      <c r="D9" s="2" t="s">
        <v>192</v>
      </c>
      <c r="E9" s="2" t="s">
        <v>170</v>
      </c>
      <c r="F9" s="13" t="s">
        <v>172</v>
      </c>
    </row>
    <row r="10" ht="14.25" customHeight="1">
      <c r="A10" s="2" t="s">
        <v>123</v>
      </c>
      <c r="B10" s="2" t="s">
        <v>196</v>
      </c>
      <c r="C10" s="2" t="s">
        <v>125</v>
      </c>
      <c r="D10" s="2" t="s">
        <v>126</v>
      </c>
      <c r="E10" s="2" t="s">
        <v>127</v>
      </c>
      <c r="F10" s="13" t="s">
        <v>128</v>
      </c>
    </row>
    <row r="11" ht="14.25" customHeight="1">
      <c r="A11" s="2" t="s">
        <v>123</v>
      </c>
      <c r="B11" s="2" t="s">
        <v>199</v>
      </c>
      <c r="C11" s="2" t="s">
        <v>125</v>
      </c>
      <c r="D11" s="2" t="s">
        <v>200</v>
      </c>
      <c r="E11" s="2" t="s">
        <v>170</v>
      </c>
      <c r="F11" s="13" t="s">
        <v>172</v>
      </c>
    </row>
    <row r="12" ht="14.25" customHeight="1">
      <c r="A12" s="2" t="s">
        <v>123</v>
      </c>
      <c r="B12" s="2" t="s">
        <v>202</v>
      </c>
      <c r="C12" s="2" t="s">
        <v>203</v>
      </c>
      <c r="D12" s="2" t="s">
        <v>205</v>
      </c>
      <c r="E12" s="2" t="s">
        <v>207</v>
      </c>
      <c r="F12" s="13" t="s">
        <v>208</v>
      </c>
    </row>
    <row r="13" ht="14.25" customHeight="1">
      <c r="A13" s="2" t="s">
        <v>123</v>
      </c>
      <c r="B13" s="2" t="s">
        <v>213</v>
      </c>
      <c r="C13" s="2" t="s">
        <v>125</v>
      </c>
      <c r="D13" s="2"/>
      <c r="E13" s="2" t="s">
        <v>215</v>
      </c>
      <c r="F13" s="14" t="s">
        <v>215</v>
      </c>
    </row>
    <row r="14" ht="14.25" customHeight="1">
      <c r="A14" s="2" t="s">
        <v>216</v>
      </c>
      <c r="B14" s="2" t="s">
        <v>217</v>
      </c>
      <c r="C14" s="15" t="s">
        <v>125</v>
      </c>
      <c r="D14" s="15" t="s">
        <v>219</v>
      </c>
      <c r="E14" s="2" t="s">
        <v>220</v>
      </c>
      <c r="F14" s="2" t="s">
        <v>221</v>
      </c>
    </row>
    <row r="15" ht="14.25" customHeight="1">
      <c r="A15" s="2" t="s">
        <v>216</v>
      </c>
      <c r="B15" s="2" t="s">
        <v>222</v>
      </c>
      <c r="C15" s="15" t="s">
        <v>125</v>
      </c>
      <c r="D15" s="15" t="s">
        <v>223</v>
      </c>
      <c r="E15" s="2" t="s">
        <v>224</v>
      </c>
      <c r="F15" s="2" t="s">
        <v>225</v>
      </c>
    </row>
    <row r="16" ht="14.25" customHeight="1">
      <c r="A16" s="2" t="s">
        <v>226</v>
      </c>
      <c r="B16" s="2" t="s">
        <v>227</v>
      </c>
      <c r="C16" s="2" t="s">
        <v>228</v>
      </c>
      <c r="D16" s="2" t="s">
        <v>229</v>
      </c>
      <c r="E16" s="2" t="s">
        <v>127</v>
      </c>
      <c r="F16" s="13" t="s">
        <v>128</v>
      </c>
    </row>
    <row r="17" ht="14.25" customHeight="1">
      <c r="A17" s="2" t="s">
        <v>226</v>
      </c>
      <c r="B17" s="2" t="s">
        <v>230</v>
      </c>
      <c r="C17" s="2" t="s">
        <v>228</v>
      </c>
      <c r="D17" s="2" t="s">
        <v>231</v>
      </c>
      <c r="E17" s="2" t="s">
        <v>127</v>
      </c>
      <c r="F17" s="13" t="s">
        <v>128</v>
      </c>
    </row>
    <row r="18" ht="14.25" customHeight="1">
      <c r="A18" s="2" t="s">
        <v>232</v>
      </c>
      <c r="B18" s="2" t="s">
        <v>233</v>
      </c>
      <c r="C18" s="2" t="s">
        <v>228</v>
      </c>
      <c r="D18" s="2" t="s">
        <v>234</v>
      </c>
      <c r="E18" s="2" t="s">
        <v>127</v>
      </c>
      <c r="F18" s="13" t="s">
        <v>128</v>
      </c>
    </row>
    <row r="19" ht="14.25" customHeight="1">
      <c r="A19" s="2" t="s">
        <v>226</v>
      </c>
      <c r="B19" s="2" t="s">
        <v>235</v>
      </c>
      <c r="C19" s="2" t="s">
        <v>228</v>
      </c>
      <c r="D19" s="2" t="s">
        <v>236</v>
      </c>
      <c r="E19" s="2" t="s">
        <v>127</v>
      </c>
      <c r="F19" s="13" t="s">
        <v>128</v>
      </c>
    </row>
    <row r="20" ht="14.25" customHeight="1">
      <c r="A20" s="2" t="s">
        <v>226</v>
      </c>
      <c r="B20" s="2" t="s">
        <v>237</v>
      </c>
      <c r="C20" s="2" t="s">
        <v>228</v>
      </c>
      <c r="D20" s="2" t="s">
        <v>238</v>
      </c>
      <c r="E20" s="2" t="s">
        <v>127</v>
      </c>
      <c r="F20" s="13" t="s">
        <v>128</v>
      </c>
    </row>
    <row r="21" ht="14.25" customHeight="1">
      <c r="A21" s="2" t="s">
        <v>226</v>
      </c>
      <c r="B21" s="2" t="s">
        <v>239</v>
      </c>
      <c r="C21" s="2" t="s">
        <v>228</v>
      </c>
      <c r="D21" s="2" t="s">
        <v>240</v>
      </c>
      <c r="E21" s="2" t="s">
        <v>127</v>
      </c>
      <c r="F21" s="13" t="s">
        <v>128</v>
      </c>
    </row>
    <row r="22" ht="14.25" customHeight="1">
      <c r="A22" s="2" t="s">
        <v>232</v>
      </c>
      <c r="B22" s="2" t="s">
        <v>241</v>
      </c>
      <c r="C22" s="2" t="s">
        <v>228</v>
      </c>
      <c r="D22" s="2" t="s">
        <v>242</v>
      </c>
      <c r="E22" s="2" t="s">
        <v>127</v>
      </c>
      <c r="F22" s="13" t="s">
        <v>128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6"/>
    <hyperlink r:id="rId13" ref="F17"/>
    <hyperlink r:id="rId14" ref="F18"/>
    <hyperlink r:id="rId15" ref="F19"/>
    <hyperlink r:id="rId16" ref="F20"/>
    <hyperlink r:id="rId17" ref="F21"/>
    <hyperlink r:id="rId18" ref="F22"/>
  </hyperlinks>
  <printOptions/>
  <pageMargins bottom="0.75" footer="0.0" header="0.0" left="0.7" right="0.7" top="0.75"/>
  <pageSetup orientation="landscape"/>
  <drawing r:id="rId1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57.86"/>
    <col customWidth="1" min="3" max="3" width="16.57"/>
    <col customWidth="1" min="4" max="4" width="19.43"/>
    <col customWidth="1" min="5" max="5" width="56.43"/>
    <col customWidth="1" min="6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ht="14.25" customHeight="1">
      <c r="A2" s="2" t="s">
        <v>129</v>
      </c>
      <c r="B2" s="2" t="s">
        <v>130</v>
      </c>
      <c r="C2" s="2" t="s">
        <v>18</v>
      </c>
      <c r="D2" s="2" t="s">
        <v>131</v>
      </c>
      <c r="E2" s="2" t="s">
        <v>132</v>
      </c>
      <c r="F2" s="2" t="s">
        <v>28</v>
      </c>
    </row>
    <row r="3" ht="14.25" customHeight="1">
      <c r="A3" s="2" t="s">
        <v>129</v>
      </c>
      <c r="B3" s="2" t="s">
        <v>133</v>
      </c>
      <c r="C3" s="2" t="s">
        <v>18</v>
      </c>
      <c r="D3" s="2" t="s">
        <v>20</v>
      </c>
      <c r="E3" s="2" t="s">
        <v>132</v>
      </c>
      <c r="F3" s="2" t="s">
        <v>28</v>
      </c>
    </row>
    <row r="4" ht="14.25" customHeight="1">
      <c r="A4" s="2" t="s">
        <v>129</v>
      </c>
      <c r="B4" s="2" t="s">
        <v>135</v>
      </c>
      <c r="C4" s="2" t="s">
        <v>136</v>
      </c>
      <c r="D4" s="2" t="s">
        <v>137</v>
      </c>
      <c r="E4" s="2" t="s">
        <v>138</v>
      </c>
      <c r="F4" s="2" t="s">
        <v>139</v>
      </c>
    </row>
    <row r="5" ht="14.25" customHeight="1">
      <c r="A5" s="2" t="s">
        <v>129</v>
      </c>
      <c r="B5" s="2" t="s">
        <v>141</v>
      </c>
      <c r="C5" s="2" t="s">
        <v>143</v>
      </c>
      <c r="D5" s="2" t="s">
        <v>144</v>
      </c>
      <c r="E5" s="2" t="s">
        <v>145</v>
      </c>
      <c r="F5" s="2" t="s">
        <v>139</v>
      </c>
    </row>
    <row r="6" ht="14.25" customHeight="1">
      <c r="A6" s="2" t="s">
        <v>129</v>
      </c>
      <c r="B6" s="2" t="s">
        <v>146</v>
      </c>
      <c r="C6" s="2" t="s">
        <v>36</v>
      </c>
      <c r="D6" s="2" t="s">
        <v>147</v>
      </c>
      <c r="E6" s="2" t="s">
        <v>149</v>
      </c>
      <c r="F6" s="2" t="s">
        <v>150</v>
      </c>
    </row>
    <row r="7" ht="14.25" customHeight="1">
      <c r="A7" s="2" t="s">
        <v>129</v>
      </c>
      <c r="B7" s="2" t="s">
        <v>151</v>
      </c>
      <c r="C7" s="2" t="s">
        <v>153</v>
      </c>
      <c r="D7" s="2" t="s">
        <v>154</v>
      </c>
      <c r="E7" s="2" t="s">
        <v>155</v>
      </c>
      <c r="F7" s="2" t="s">
        <v>157</v>
      </c>
    </row>
    <row r="8" ht="14.25" customHeight="1">
      <c r="A8" s="2" t="s">
        <v>158</v>
      </c>
      <c r="B8" s="2" t="s">
        <v>159</v>
      </c>
      <c r="C8" s="2" t="s">
        <v>161</v>
      </c>
      <c r="D8" s="2" t="s">
        <v>163</v>
      </c>
      <c r="E8" s="2" t="s">
        <v>166</v>
      </c>
      <c r="F8" s="6" t="s">
        <v>169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8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16.71"/>
    <col customWidth="1" min="3" max="3" width="18.86"/>
    <col customWidth="1" min="4" max="4" width="17.86"/>
    <col customWidth="1" min="5" max="5" width="41.43"/>
    <col customWidth="1" min="6" max="6" width="8.71"/>
    <col customWidth="1" min="7" max="7" width="23.29"/>
    <col customWidth="1" min="8" max="26" width="8.71"/>
  </cols>
  <sheetData>
    <row r="1" ht="14.25" customHeight="1">
      <c r="A1" s="1" t="s">
        <v>156</v>
      </c>
      <c r="B1" s="1" t="s">
        <v>160</v>
      </c>
      <c r="C1" s="1" t="s">
        <v>164</v>
      </c>
      <c r="D1" s="1" t="s">
        <v>165</v>
      </c>
      <c r="E1" s="1" t="s">
        <v>168</v>
      </c>
      <c r="F1" s="1" t="s">
        <v>171</v>
      </c>
      <c r="G1" s="1" t="s">
        <v>5</v>
      </c>
      <c r="H1" s="1" t="s">
        <v>7</v>
      </c>
    </row>
    <row r="2" ht="14.25" customHeight="1">
      <c r="A2" s="2" t="s">
        <v>173</v>
      </c>
      <c r="B2" s="2" t="s">
        <v>174</v>
      </c>
      <c r="C2" s="2" t="s">
        <v>175</v>
      </c>
      <c r="D2" s="2">
        <v>0.07</v>
      </c>
      <c r="E2" s="2">
        <v>1.9</v>
      </c>
      <c r="F2" s="2">
        <v>0.13</v>
      </c>
      <c r="G2" s="2" t="s">
        <v>176</v>
      </c>
      <c r="H2" s="2" t="s">
        <v>177</v>
      </c>
    </row>
    <row r="3" ht="14.25" customHeight="1">
      <c r="A3" s="2" t="s">
        <v>173</v>
      </c>
      <c r="B3" s="2" t="s">
        <v>174</v>
      </c>
      <c r="C3" s="2" t="s">
        <v>179</v>
      </c>
      <c r="D3" s="2">
        <v>0.12</v>
      </c>
      <c r="E3" s="2">
        <v>1.9</v>
      </c>
      <c r="F3" s="2">
        <v>0.23</v>
      </c>
      <c r="G3" s="2" t="s">
        <v>176</v>
      </c>
      <c r="H3" s="2" t="s">
        <v>177</v>
      </c>
    </row>
    <row r="4" ht="14.25" customHeight="1">
      <c r="A4" s="2" t="s">
        <v>183</v>
      </c>
      <c r="B4" s="2" t="s">
        <v>184</v>
      </c>
      <c r="C4" s="2" t="s">
        <v>179</v>
      </c>
      <c r="D4" s="2">
        <v>0.15</v>
      </c>
      <c r="E4" s="2">
        <v>2.0</v>
      </c>
      <c r="F4" s="2">
        <v>0.3</v>
      </c>
      <c r="G4" s="2" t="s">
        <v>185</v>
      </c>
      <c r="H4" s="2" t="s">
        <v>186</v>
      </c>
    </row>
    <row r="5" ht="14.25" customHeight="1">
      <c r="A5" s="2" t="s">
        <v>190</v>
      </c>
      <c r="B5" s="2" t="s">
        <v>191</v>
      </c>
      <c r="C5" s="2" t="s">
        <v>193</v>
      </c>
      <c r="D5" s="2">
        <v>1.5</v>
      </c>
      <c r="E5" s="2">
        <v>1.9</v>
      </c>
      <c r="F5" s="2">
        <v>2.85</v>
      </c>
      <c r="G5" s="2" t="s">
        <v>194</v>
      </c>
      <c r="H5" s="2" t="s">
        <v>195</v>
      </c>
    </row>
    <row r="6" ht="14.25" customHeight="1">
      <c r="A6" s="2" t="s">
        <v>197</v>
      </c>
      <c r="B6" s="2" t="s">
        <v>198</v>
      </c>
      <c r="C6" s="2" t="s">
        <v>175</v>
      </c>
      <c r="D6" s="2">
        <v>0.18</v>
      </c>
      <c r="E6" s="2">
        <v>0.9</v>
      </c>
      <c r="F6" s="2">
        <v>0.16</v>
      </c>
      <c r="G6" s="2" t="s">
        <v>201</v>
      </c>
      <c r="H6" s="2" t="s">
        <v>204</v>
      </c>
    </row>
    <row r="7" ht="14.25" customHeight="1">
      <c r="A7" s="2" t="s">
        <v>206</v>
      </c>
      <c r="B7" s="2" t="s">
        <v>209</v>
      </c>
      <c r="C7" s="2" t="s">
        <v>210</v>
      </c>
      <c r="D7" s="2">
        <v>0.3</v>
      </c>
      <c r="E7" s="2">
        <v>2.0</v>
      </c>
      <c r="F7" s="2">
        <v>0.6</v>
      </c>
      <c r="G7" s="2" t="s">
        <v>211</v>
      </c>
      <c r="H7" s="2" t="s">
        <v>195</v>
      </c>
    </row>
    <row r="8" ht="14.25" customHeight="1">
      <c r="A8" s="2" t="s">
        <v>212</v>
      </c>
      <c r="B8" s="2" t="s">
        <v>214</v>
      </c>
      <c r="C8" s="2" t="s">
        <v>210</v>
      </c>
      <c r="D8" s="2">
        <v>20.0</v>
      </c>
      <c r="E8" s="2">
        <v>0.11</v>
      </c>
      <c r="F8" s="2">
        <v>2.2</v>
      </c>
      <c r="G8" s="2" t="s">
        <v>218</v>
      </c>
      <c r="H8" s="2" t="s">
        <v>186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Ignacio Sommer</dc:creator>
</cp:coreProperties>
</file>